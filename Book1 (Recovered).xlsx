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hana Chatterjee\Desktop\PROJECTS\excel dashboard\"/>
    </mc:Choice>
  </mc:AlternateContent>
  <xr:revisionPtr revIDLastSave="0" documentId="13_ncr:1_{8AC5E05F-B56A-40DC-BC70-86B2B9024E14}" xr6:coauthVersionLast="47" xr6:coauthVersionMax="47" xr10:uidLastSave="{00000000-0000-0000-0000-000000000000}"/>
  <bookViews>
    <workbookView xWindow="-108" yWindow="-108" windowWidth="23256" windowHeight="12456" firstSheet="1" activeTab="1" xr2:uid="{806EB6D1-8D6F-42A4-96AE-DCCD657F8D7B}"/>
  </bookViews>
  <sheets>
    <sheet name="Pivot Report" sheetId="1" r:id="rId1"/>
    <sheet name="dashboard" sheetId="2" r:id="rId2"/>
    <sheet name="Daily ER No. of patients" sheetId="3" r:id="rId3"/>
    <sheet name="Average wait time daily trend" sheetId="4" r:id="rId4"/>
    <sheet name="Patient satisfaction score" sheetId="5" r:id="rId5"/>
  </sheets>
  <definedNames>
    <definedName name="Slicer_Date__Month">#N/A</definedName>
    <definedName name="Slicer_Date__Year">#N/A</definedName>
  </definedNames>
  <calcPr calcId="191029"/>
  <pivotCaches>
    <pivotCache cacheId="249" r:id="rId6"/>
    <pivotCache cacheId="252" r:id="rId7"/>
    <pivotCache cacheId="255" r:id="rId8"/>
    <pivotCache cacheId="258" r:id="rId9"/>
    <pivotCache cacheId="261" r:id="rId10"/>
    <pivotCache cacheId="264" r:id="rId11"/>
    <pivotCache cacheId="267" r:id="rId12"/>
    <pivotCache cacheId="270" r:id="rId13"/>
    <pivotCache cacheId="273" r:id="rId14"/>
    <pivotCache cacheId="276" r:id="rId15"/>
    <pivotCache cacheId="279" r:id="rId16"/>
    <pivotCache cacheId="282" r:id="rId17"/>
  </pivotCaches>
  <fileRecoveryPr repairLoad="1"/>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4719067-0080-4f5e-bac0-c1ddc01cc57e" name="Hospital Emergency Room Data" connection="Query - Hospital Emergency Room Data"/>
          <x15:modelTable id="Calendar_Table_d05d7035-43fe-427a-8275-99c3bba0381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5" i="1" l="1"/>
  <c r="C45" i="1"/>
  <c r="B45" i="1"/>
  <c r="D44" i="1"/>
  <c r="C44" i="1"/>
  <c r="B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DF597F-7070-4BA8-BF39-3A3F6E4D0CF2}" name="Query - Calendar_Table" description="Connection to the 'Calendar_Table' query in the workbook." type="100" refreshedVersion="7" minRefreshableVersion="5">
    <extLst>
      <ext xmlns:x15="http://schemas.microsoft.com/office/spreadsheetml/2010/11/main" uri="{DE250136-89BD-433C-8126-D09CA5730AF9}">
        <x15:connection id="f7d42a2f-14b1-4295-a173-6825e0b94776"/>
      </ext>
    </extLst>
  </connection>
  <connection id="2" xr16:uid="{6D28212D-5864-4A58-A2A0-0A529E70763E}"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44b4e41b-b656-4007-8b88-f5e7c7ed9183"/>
      </ext>
    </extLst>
  </connection>
  <connection id="3" xr16:uid="{4EA1003D-C13B-48FB-A93E-C2575DB46074}"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<sst xmlns="http://schemas.openxmlformats.org/spreadsheetml/2006/main" count="150" uniqueCount="75">
  <si>
    <t>Distinct Count of Patient Id</t>
  </si>
  <si>
    <t xml:space="preserve">No. of Patient </t>
  </si>
  <si>
    <t>Average of Patient Waittime</t>
  </si>
  <si>
    <t>Average of Patient Satisfaction Score</t>
  </si>
  <si>
    <t>Row Labels</t>
  </si>
  <si>
    <t>Grand Total</t>
  </si>
  <si>
    <t>daily trend of no. of patients</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</si>
  <si>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</si>
  <si>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</si>
  <si>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</si>
  <si>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</si>
  <si>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</si>
  <si>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</si>
  <si>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</si>
  <si>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</si>
  <si>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</si>
  <si>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</si>
  <si>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</si>
  <si>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</si>
  <si>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</si>
  <si>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</si>
  <si>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</si>
  <si>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</si>
  <si>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</si>
  <si>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</si>
  <si>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</si>
  <si>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</si>
  <si>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</si>
  <si>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</si>
  <si>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</si>
  <si>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</si>
  <si>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</si>
  <si>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</si>
  <si>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</si>
  <si>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</si>
  <si>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</si>
  <si>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</si>
  <si>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Show a daily trend with an area sparkline to spot patterns like busy days or seasonal trends</t>
  </si>
  <si>
    <t>average wait time</t>
  </si>
  <si>
    <t>Use an area sparkline to track daily changes and highlight days with longer wait times that might need improvements.</t>
  </si>
  <si>
    <t>satisfaction</t>
  </si>
  <si>
    <t>Use an area sparkline to show trends, spot drops in satisfaction, and link them to busy times or challenges</t>
  </si>
  <si>
    <t>Count of Patient Admission Flag</t>
  </si>
  <si>
    <t>Admitted</t>
  </si>
  <si>
    <t>Not Admitted</t>
  </si>
  <si>
    <t>Count of Patient Admission Flag2</t>
  </si>
  <si>
    <t>Admission Status</t>
  </si>
  <si>
    <t>No. of Patient</t>
  </si>
  <si>
    <t>%Status</t>
  </si>
  <si>
    <t xml:space="preserve">  </t>
  </si>
  <si>
    <t>0-09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</si>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</sst>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11"/>
      <color theme="1"/>
      <name val="Calibri"/>
      <family val="2"/>
      <scheme val="minor"/>
    </font>
    <font>
      <sz val="18"/>
      <color theme="0"/>
      <name val="Times New Roman"/>
      <family val="1"/>
    </font>
    <font>
      <sz val="16"/>
      <color theme="0"/>
      <name val="Times New Roman"/>
      <family val="1"/>
    </font>
    <font>
      <sz val="20"/>
      <color theme="0"/>
      <name val="Times New Roman"/>
      <family val="1"/>
    </font>
    <font>
      <sz val="9"/>
      <color theme="1"/>
      <name val="Times New Roman"/>
      <family val="1"/>
    </font>
    <font>
      <sz val="9"/>
      <color theme="1"/>
      <name val="Calibri"/>
      <family val="2"/>
      <scheme val="minor"/>
    </font>
  </fonts>
  <fills count="6">
    <fill>
      <patternFill patternType="none"/>
    </fill>
    <fill>
      <patternFill patternType="gray125"/>
    </fill>
    <fill>
      <patternFill patternType="solid">
        <fgColor theme="1" tint="0.14999847407452621"/>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1"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0" fillId="0" borderId="0" xfId="0" applyNumberFormat="1"/>
    <xf numFmtId="0" fontId="0" fillId="0" borderId="0" xfId="0" pivotButton="1"/>
    <xf numFmtId="2" fontId="0" fillId="0" borderId="0" xfId="0" applyNumberFormat="1"/>
    <xf numFmtId="0" fontId="0" fillId="0" borderId="0" xfId="0" applyAlignment="1">
      <alignment horizontal="left"/>
    </xf>
    <xf numFmtId="0" fontId="0" fillId="0" borderId="0" xfId="0" applyFill="1"/>
    <xf numFmtId="0" fontId="0" fillId="2" borderId="0" xfId="0" applyFill="1"/>
    <xf numFmtId="0" fontId="2" fillId="2" borderId="0" xfId="0" applyFont="1" applyFill="1" applyAlignment="1"/>
    <xf numFmtId="0" fontId="0" fillId="2" borderId="0" xfId="0" applyFill="1" applyAlignment="1"/>
    <xf numFmtId="1" fontId="0" fillId="0" borderId="0" xfId="0" applyNumberFormat="1"/>
    <xf numFmtId="10" fontId="0" fillId="0" borderId="0" xfId="0" applyNumberFormat="1"/>
    <xf numFmtId="0" fontId="5" fillId="4" borderId="0" xfId="0" applyFont="1" applyFill="1"/>
    <xf numFmtId="9" fontId="5" fillId="4" borderId="0" xfId="1" applyFont="1" applyFill="1"/>
    <xf numFmtId="0" fontId="6" fillId="4" borderId="0" xfId="0" applyFont="1" applyFill="1" applyAlignment="1"/>
    <xf numFmtId="0" fontId="5" fillId="3" borderId="0" xfId="0" applyFont="1" applyFill="1" applyAlignment="1">
      <alignment horizontal="left"/>
    </xf>
    <xf numFmtId="0" fontId="5" fillId="3" borderId="0" xfId="0" applyFont="1" applyFill="1"/>
    <xf numFmtId="0" fontId="6" fillId="3" borderId="0" xfId="0" applyFont="1" applyFill="1" applyAlignment="1"/>
    <xf numFmtId="0" fontId="0" fillId="5" borderId="0" xfId="0" applyFill="1"/>
    <xf numFmtId="0" fontId="0" fillId="5" borderId="0" xfId="0" applyFont="1" applyFill="1"/>
    <xf numFmtId="0" fontId="4" fillId="2" borderId="0" xfId="0" applyFont="1" applyFill="1" applyAlignment="1">
      <alignment horizontal="center"/>
    </xf>
    <xf numFmtId="0" fontId="0" fillId="2" borderId="0" xfId="0" applyFill="1" applyAlignment="1">
      <alignment horizontal="center"/>
    </xf>
    <xf numFmtId="0" fontId="3" fillId="2" borderId="0" xfId="0" applyFont="1" applyFill="1" applyAlignment="1">
      <alignment horizontal="center"/>
    </xf>
    <xf numFmtId="0" fontId="2" fillId="2" borderId="0" xfId="0" applyFont="1" applyFill="1" applyAlignment="1">
      <alignment horizontal="center"/>
    </xf>
  </cellXfs>
  <cellStyles count="2">
    <cellStyle name="Normal" xfId="0" builtinId="0"/>
    <cellStyle name="Percent" xfId="1" builtinId="5"/>
  </cellStyles>
  <dxfs count="139">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fill>
        <patternFill>
          <bgColor theme="4" tint="-0.24994659260841701"/>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fill>
        <patternFill>
          <bgColor theme="4" tint="-0.499984740745262"/>
        </patternFill>
      </fill>
    </dxf>
    <dxf>
      <border>
        <left style="thin">
          <color auto="1"/>
        </left>
        <right style="thin">
          <color auto="1"/>
        </right>
        <top style="thin">
          <color auto="1"/>
        </top>
        <bottom style="thin">
          <color auto="1"/>
        </bottom>
      </border>
    </dxf>
    <dxf>
      <fill>
        <patternFill>
          <bgColor theme="4" tint="-0.499984740745262"/>
        </patternFill>
      </fill>
    </dxf>
    <dxf>
      <font>
        <sz val="8"/>
        <name val="Times New Roman"/>
        <family val="1"/>
        <scheme val="none"/>
      </font>
      <fill>
        <patternFill>
          <bgColor theme="4" tint="-0.24994659260841701"/>
        </patternFill>
      </fill>
    </dxf>
  </dxfs>
  <tableStyles count="9" defaultTableStyle="TableStyleMedium2" defaultPivotStyle="PivotStyleLight16">
    <tableStyle name="last" pivot="0" table="0" count="6" xr9:uid="{3D2CD782-DA7C-44A9-A3A6-4A66F390A300}">
      <tableStyleElement type="wholeTable" dxfId="113"/>
    </tableStyle>
    <tableStyle name="my slicer" pivot="0" table="0" count="2" xr9:uid="{A386950B-2E32-4690-819C-26D21C4F1B28}"/>
    <tableStyle name="My Style" pivot="0" table="0" count="1" xr9:uid="{A6F4D50E-21BF-42B9-A26B-3868E96B1982}">
      <tableStyleElement type="wholeTable" dxfId="138"/>
    </tableStyle>
    <tableStyle name="new one" pivot="0" table="0" count="3" xr9:uid="{F303E2FB-5D8B-4080-B29D-FDD595AA25E6}"/>
    <tableStyle name="new sclier" pivot="0" table="0" count="4" xr9:uid="{4D836AD0-6E3F-40E2-A4AF-C98732C28E10}">
      <tableStyleElement type="wholeTable" dxfId="137"/>
    </tableStyle>
    <tableStyle name="Slicer Style 1" pivot="0" table="0" count="1" xr9:uid="{81001366-8590-4699-84DA-0BC5053220AA}">
      <tableStyleElement type="wholeTable" dxfId="136"/>
    </tableStyle>
    <tableStyle name="Slicer Style 2" pivot="0" table="0" count="0" xr9:uid="{BA448795-FF79-4007-AD29-1281AB46025A}"/>
    <tableStyle name="Slicer Style 3" pivot="0" table="0" count="1" xr9:uid="{EC9BFB6E-836D-4D22-8C9D-7B094C1FB5EB}">
      <tableStyleElement type="wholeTable" dxfId="135"/>
    </tableStyle>
    <tableStyle name="Slicer Style 4" pivot="0" table="0" count="1" xr9:uid="{E14793C4-1B98-4856-9365-8E74DFBD30CF}"/>
  </tableStyles>
  <colors>
    <mruColors>
      <color rgb="FF0D1B2A"/>
      <color rgb="FF121212"/>
    </mruColors>
  </colors>
  <extLst>
    <ext xmlns:x14="http://schemas.microsoft.com/office/spreadsheetml/2009/9/main" uri="{46F421CA-312F-682f-3DD2-61675219B42D}">
      <x14:dxfs count="14">
        <dxf>
          <fill>
            <patternFill>
              <bgColor theme="8" tint="0.59996337778862885"/>
            </patternFill>
          </fill>
        </dxf>
        <dxf>
          <fill>
            <patternFill>
              <bgColor theme="4" tint="0.79998168889431442"/>
            </patternFill>
          </fill>
        </dxf>
        <dxf>
          <fill>
            <patternFill>
              <bgColor theme="4" tint="0.59996337778862885"/>
            </patternFill>
          </fill>
        </dxf>
        <dxf>
          <fill>
            <patternFill>
              <bgColor theme="4" tint="0.59996337778862885"/>
            </patternFill>
          </fill>
        </dxf>
        <dxf>
          <fill>
            <patternFill>
              <bgColor theme="4" tint="0.39994506668294322"/>
            </patternFill>
          </fill>
        </dxf>
        <dxf>
          <fill>
            <patternFill>
              <bgColor theme="4" tint="0.59996337778862885"/>
            </patternFill>
          </fill>
        </dxf>
        <dxf>
          <fill>
            <patternFill>
              <bgColor theme="8"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59996337778862885"/>
            </patternFill>
          </fill>
        </dxf>
      </x14:dxfs>
    </ext>
    <ext xmlns:x14="http://schemas.microsoft.com/office/spreadsheetml/2009/9/main" uri="{EB79DEF2-80B8-43e5-95BD-54CBDDF9020C}">
      <x14:slicerStyles defaultSlicerStyle="SlicerStyleLight1">
        <x14:slicerStyle name="last">
          <x14:slicerStyleElements>
            <x14:slicerStyleElement type="unselectedItemWithData" dxfId="2"/>
            <x14:slicerStyleElement type="unselectedItemWithNoData" dxfId="1"/>
            <x14:slicerStyleElement type="selectedItemWithData" dxfId="4"/>
            <x14:slicerStyleElement type="selectedItemWithNoData" dxfId="3"/>
            <x14:slicerStyleElement type="hoveredSelectedItemWithData" dxfId="0"/>
          </x14:slicerStyleElements>
        </x14:slicerStyle>
        <x14:slicerStyle name="my slicer">
          <x14:slicerStyleElements>
            <x14:slicerStyleElement type="selectedItemWithData" dxfId="13"/>
            <x14:slicerStyleElement type="hoveredSelectedItemWithData" dxfId="12"/>
          </x14:slicerStyleElements>
        </x14:slicerStyle>
        <x14:slicerStyle name="My Style"/>
        <x14:slicerStyle name="new one">
          <x14:slicerStyleElements>
            <x14:slicerStyleElement type="unselectedItemWithData" dxfId="11"/>
            <x14:slicerStyleElement type="unselectedItemWithNoData" dxfId="10"/>
            <x14:slicerStyleElement type="hoveredSelectedItemWithData" dxfId="9"/>
          </x14:slicerStyleElements>
        </x14:slicerStyle>
        <x14:slicerStyle name="new sclier">
          <x14:slicerStyleElements>
            <x14:slicerStyleElement type="unselectedItemWithNoData" dxfId="8"/>
            <x14:slicerStyleElement type="selectedItemWithData" dxfId="7"/>
            <x14:slicerStyleElement type="hoveredSelectedItemWithData" dxfId="6"/>
          </x14:slicerStyleElements>
        </x14:slicerStyle>
        <x14:slicerStyle name="Slicer Style 1"/>
        <x14:slicerStyle name="Slicer Style 2"/>
        <x14:slicerStyle name="Slicer Style 3"/>
        <x14:slicerStyle name="Slicer Style 4">
          <x14:slicerStyleElements>
            <x14:slicerStyleElement type="selectedItemWithData" dxfId="5"/>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Report!PivotTable7</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dLbl>
          <c:idx val="0"/>
          <c:delete val="1"/>
          <c:extLst>
            <c:ext xmlns:c15="http://schemas.microsoft.com/office/drawing/2012/chart" uri="{CE6537A1-D6FC-4f65-9D91-7224C49458BB}"/>
          </c:extLst>
        </c:dLbl>
      </c:pivotFmt>
      <c:pivotFmt>
        <c:idx val="2"/>
        <c:dLbl>
          <c:idx val="0"/>
          <c:tx>
            <c:rich>
              <a:bodyPr/>
              <a:lstStyle/>
              <a:p>
                <a:fld id="{2311993A-6770-42F3-A1E0-8D0A00D526B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EFD7BAB3-E0BF-47C5-9246-1DEE0A06587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dLbl>
          <c:idx val="0"/>
          <c:tx>
            <c:rich>
              <a:bodyPr/>
              <a:lstStyle/>
              <a:p>
                <a:fld id="{EFD7BAB3-E0BF-47C5-9246-1DEE0A06587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dLbl>
          <c:idx val="0"/>
          <c:tx>
            <c:rich>
              <a:bodyPr/>
              <a:lstStyle/>
              <a:p>
                <a:fld id="{2311993A-6770-42F3-A1E0-8D0A00D526B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dLbl>
          <c:idx val="0"/>
          <c:delete val="1"/>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dLbl>
          <c:idx val="0"/>
          <c:tx>
            <c:rich>
              <a:bodyPr/>
              <a:lstStyle/>
              <a:p>
                <a:fld id="{EFD7BAB3-E0BF-47C5-9246-1DEE0A06587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dLbl>
          <c:idx val="0"/>
          <c:tx>
            <c:rich>
              <a:bodyPr/>
              <a:lstStyle/>
              <a:p>
                <a:fld id="{2311993A-6770-42F3-A1E0-8D0A00D526B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dLbl>
          <c:idx val="0"/>
          <c:delete val="1"/>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dLbl>
          <c:idx val="0"/>
          <c:tx>
            <c:rich>
              <a:bodyPr/>
              <a:lstStyle/>
              <a:p>
                <a:fld id="{EFD7BAB3-E0BF-47C5-9246-1DEE0A06587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dLbl>
          <c:idx val="0"/>
          <c:tx>
            <c:rich>
              <a:bodyPr/>
              <a:lstStyle/>
              <a:p>
                <a:fld id="{2311993A-6770-42F3-A1E0-8D0A00D526B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dLbl>
          <c:idx val="0"/>
          <c:delete val="1"/>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F8C7F9-7C63-462E-8098-58530AF79164}" type="CELLRANGE">
                  <a:rPr lang="en-US" sz="500"/>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9"/>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6073025722457465E-2"/>
          <c:y val="0.15106008777591326"/>
          <c:w val="0.95392745191503336"/>
          <c:h val="0.80422905640893261"/>
        </c:manualLayout>
      </c:layout>
      <c:barChart>
        <c:barDir val="bar"/>
        <c:grouping val="clustered"/>
        <c:varyColors val="0"/>
        <c:ser>
          <c:idx val="0"/>
          <c:order val="0"/>
          <c:tx>
            <c:strRef>
              <c:f>'Pivot Report'!$C$38:$C$39</c:f>
              <c:strCache>
                <c:ptCount val="1"/>
                <c:pt idx="0">
                  <c:v>Count of Patient Admission Flag</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Pt>
            <c:idx val="0"/>
            <c:invertIfNegative val="0"/>
            <c:bubble3D val="0"/>
          </c:dPt>
          <c:dPt>
            <c:idx val="1"/>
            <c:invertIfNegative val="0"/>
            <c:bubble3D val="0"/>
          </c:dPt>
          <c:dLbls>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F8C7F9-7C63-462E-8098-58530AF79164}" type="CELLRANGE">
                      <a:rPr lang="en-US" sz="500"/>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dLbl>
              <c:idx val="1"/>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'Pivot Report'!$C$38:$C$39</c:f>
              <c:strCache>
                <c:ptCount val="2"/>
                <c:pt idx="0">
                  <c:v>Admitted</c:v>
                </c:pt>
                <c:pt idx="1">
                  <c:v>Not Admitted</c:v>
                </c:pt>
              </c:strCache>
            </c:strRef>
          </c:cat>
          <c:val>
            <c:numRef>
              <c:f>'Pivot Report'!$C$38:$C$39</c:f>
              <c:numCache>
                <c:formatCode>0</c:formatCode>
                <c:ptCount val="2"/>
                <c:pt idx="0">
                  <c:v>217</c:v>
                </c:pt>
                <c:pt idx="1">
                  <c:v>252</c:v>
                </c:pt>
              </c:numCache>
            </c:numRef>
          </c:val>
          <c:extLst>
            <c:ext xmlns:c16="http://schemas.microsoft.com/office/drawing/2014/chart" uri="{C3380CC4-5D6E-409C-BE32-E72D297353CC}">
              <c16:uniqueId val="{00000001-5ADF-4ADF-9CDD-DB9E90AE60E6}"/>
            </c:ext>
          </c:extLst>
        </c:ser>
        <c:ser>
          <c:idx val="1"/>
          <c:order val="1"/>
          <c:tx>
            <c:strRef>
              <c:f>'Pivot Report'!$C$38:$C$39</c:f>
              <c:strCache>
                <c:ptCount val="1"/>
                <c:pt idx="0">
                  <c:v>Count of Patient Admission Flag2</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cat>
            <c:strRef>
              <c:f>'Pivot Report'!$C$38:$C$39</c:f>
              <c:strCache>
                <c:ptCount val="2"/>
                <c:pt idx="0">
                  <c:v>Admitted</c:v>
                </c:pt>
                <c:pt idx="1">
                  <c:v>Not Admitted</c:v>
                </c:pt>
              </c:strCache>
            </c:strRef>
          </c:cat>
          <c:val>
            <c:numRef>
              <c:f>'Pivot Report'!$C$38:$C$39</c:f>
              <c:numCache>
                <c:formatCode>0.00%</c:formatCode>
                <c:ptCount val="2"/>
                <c:pt idx="0">
                  <c:v>0.46268656716417911</c:v>
                </c:pt>
                <c:pt idx="1">
                  <c:v>0.53731343283582089</c:v>
                </c:pt>
              </c:numCache>
            </c:numRef>
          </c:val>
          <c:extLst>
            <c:ext xmlns:c16="http://schemas.microsoft.com/office/drawing/2014/chart" uri="{C3380CC4-5D6E-409C-BE32-E72D297353CC}">
              <c16:uniqueId val="{00000002-5ADF-4ADF-9CDD-DB9E90AE60E6}"/>
            </c:ext>
          </c:extLst>
        </c:ser>
        <c:dLbls>
          <c:showLegendKey val="0"/>
          <c:showVal val="0"/>
          <c:showCatName val="0"/>
          <c:showSerName val="0"/>
          <c:showPercent val="0"/>
          <c:showBubbleSize val="0"/>
        </c:dLbls>
        <c:gapWidth val="60"/>
        <c:overlap val="-58"/>
        <c:axId val="1673667168"/>
        <c:axId val="1568095360"/>
      </c:barChart>
      <c:catAx>
        <c:axId val="1673667168"/>
        <c:scaling>
          <c:orientation val="minMax"/>
        </c:scaling>
        <c:delete val="1"/>
        <c:axPos val="l"/>
        <c:numFmt formatCode="General" sourceLinked="1"/>
        <c:majorTickMark val="none"/>
        <c:minorTickMark val="none"/>
        <c:tickLblPos val="nextTo"/>
        <c:crossAx val="1568095360"/>
        <c:crosses val="autoZero"/>
        <c:auto val="1"/>
        <c:lblAlgn val="ctr"/>
        <c:lblOffset val="100"/>
        <c:noMultiLvlLbl val="0"/>
      </c:catAx>
      <c:valAx>
        <c:axId val="1568095360"/>
        <c:scaling>
          <c:orientation val="minMax"/>
        </c:scaling>
        <c:delete val="1"/>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 sourceLinked="1"/>
        <c:majorTickMark val="none"/>
        <c:minorTickMark val="none"/>
        <c:tickLblPos val="nextTo"/>
        <c:crossAx val="1673667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544993799925019E-2"/>
          <c:y val="0.3375515166904311"/>
          <c:w val="0.91776802628463172"/>
          <c:h val="0.51611071343354809"/>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  </c:v>
                </c:pt>
                <c:pt idx="25">
                  <c:v>26-Apr</c:v>
                </c:pt>
                <c:pt idx="26">
                  <c:v>27-Apr</c:v>
                </c:pt>
                <c:pt idx="27">
                  <c:v>28-Apr</c:v>
                </c:pt>
                <c:pt idx="28">
                  <c:v>29-Apr</c:v>
                </c:pt>
                <c:pt idx="29">
                  <c:v>30-Apr</c:v>
                </c:pt>
              </c:strCache>
            </c:strRef>
          </c:cat>
          <c:val>
            <c:numRef>
              <c:f>'Pivot Report'!$D$5:$D$35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1-CC73-46A9-A484-A660CC1079C2}"/>
            </c:ext>
          </c:extLst>
        </c:ser>
        <c:dLbls>
          <c:showLegendKey val="0"/>
          <c:showVal val="0"/>
          <c:showCatName val="0"/>
          <c:showSerName val="0"/>
          <c:showPercent val="0"/>
          <c:showBubbleSize val="0"/>
        </c:dLbls>
        <c:axId val="1517693328"/>
        <c:axId val="1517694160"/>
      </c:areaChart>
      <c:catAx>
        <c:axId val="1517693328"/>
        <c:scaling>
          <c:orientation val="minMax"/>
        </c:scaling>
        <c:delete val="1"/>
        <c:axPos val="b"/>
        <c:numFmt formatCode="General" sourceLinked="1"/>
        <c:majorTickMark val="out"/>
        <c:minorTickMark val="none"/>
        <c:tickLblPos val="nextTo"/>
        <c:crossAx val="1517694160"/>
        <c:crosses val="autoZero"/>
        <c:auto val="1"/>
        <c:lblAlgn val="ctr"/>
        <c:lblOffset val="100"/>
        <c:noMultiLvlLbl val="0"/>
      </c:catAx>
      <c:valAx>
        <c:axId val="1517694160"/>
        <c:scaling>
          <c:orientation val="minMax"/>
        </c:scaling>
        <c:delete val="1"/>
        <c:axPos val="l"/>
        <c:numFmt formatCode="General" sourceLinked="1"/>
        <c:majorTickMark val="none"/>
        <c:minorTickMark val="none"/>
        <c:tickLblPos val="nextTo"/>
        <c:crossAx val="1517693328"/>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Report'!$G$5:$G$35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1-F8C7-43C3-BD8E-84DFB751B3F9}"/>
            </c:ext>
          </c:extLst>
        </c:ser>
        <c:dLbls>
          <c:showLegendKey val="0"/>
          <c:showVal val="0"/>
          <c:showCatName val="0"/>
          <c:showSerName val="0"/>
          <c:showPercent val="0"/>
          <c:showBubbleSize val="0"/>
        </c:dLbls>
        <c:axId val="1236372528"/>
        <c:axId val="1236372112"/>
      </c:areaChart>
      <c:catAx>
        <c:axId val="1236372528"/>
        <c:scaling>
          <c:orientation val="minMax"/>
        </c:scaling>
        <c:delete val="1"/>
        <c:axPos val="b"/>
        <c:numFmt formatCode="General" sourceLinked="1"/>
        <c:majorTickMark val="out"/>
        <c:minorTickMark val="none"/>
        <c:tickLblPos val="nextTo"/>
        <c:crossAx val="1236372112"/>
        <c:crosses val="autoZero"/>
        <c:auto val="1"/>
        <c:lblAlgn val="ctr"/>
        <c:lblOffset val="100"/>
        <c:noMultiLvlLbl val="0"/>
      </c:catAx>
      <c:valAx>
        <c:axId val="1236372112"/>
        <c:scaling>
          <c:orientation val="minMax"/>
        </c:scaling>
        <c:delete val="1"/>
        <c:axPos val="l"/>
        <c:numFmt formatCode="0.00" sourceLinked="1"/>
        <c:majorTickMark val="none"/>
        <c:minorTickMark val="none"/>
        <c:tickLblPos val="nextTo"/>
        <c:crossAx val="12363725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895031260282988E-2"/>
          <c:y val="0.42898347401654474"/>
          <c:w val="0.57058407370845665"/>
          <c:h val="0.37178075903354851"/>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Report'!$J$5:$J$32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1-3238-4C43-91D5-6D8C790C7C04}"/>
            </c:ext>
          </c:extLst>
        </c:ser>
        <c:dLbls>
          <c:showLegendKey val="0"/>
          <c:showVal val="0"/>
          <c:showCatName val="0"/>
          <c:showSerName val="0"/>
          <c:showPercent val="0"/>
          <c:showBubbleSize val="0"/>
        </c:dLbls>
        <c:axId val="1674171712"/>
        <c:axId val="1674172544"/>
      </c:areaChart>
      <c:catAx>
        <c:axId val="1674171712"/>
        <c:scaling>
          <c:orientation val="minMax"/>
        </c:scaling>
        <c:delete val="1"/>
        <c:axPos val="b"/>
        <c:numFmt formatCode="General" sourceLinked="1"/>
        <c:majorTickMark val="out"/>
        <c:minorTickMark val="none"/>
        <c:tickLblPos val="nextTo"/>
        <c:crossAx val="1674172544"/>
        <c:crosses val="autoZero"/>
        <c:auto val="1"/>
        <c:lblAlgn val="ctr"/>
        <c:lblOffset val="100"/>
        <c:noMultiLvlLbl val="0"/>
      </c:catAx>
      <c:valAx>
        <c:axId val="1674172544"/>
        <c:scaling>
          <c:orientation val="minMax"/>
        </c:scaling>
        <c:delete val="1"/>
        <c:axPos val="l"/>
        <c:numFmt formatCode="0.00" sourceLinked="1"/>
        <c:majorTickMark val="none"/>
        <c:minorTickMark val="none"/>
        <c:tickLblPos val="nextTo"/>
        <c:crossAx val="16741717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Report!PivotTable8</c:name>
    <c:fmtId val="7"/>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508147439760941"/>
          <c:h val="0.69803898258374442"/>
        </c:manualLayout>
      </c:layout>
      <c:barChart>
        <c:barDir val="col"/>
        <c:grouping val="clustered"/>
        <c:varyColors val="0"/>
        <c:ser>
          <c:idx val="0"/>
          <c:order val="0"/>
          <c:tx>
            <c:strRef>
              <c:f>'Pivot Report'!$B$51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1-8C06-421E-A860-527CCBD4FE85}"/>
            </c:ext>
          </c:extLst>
        </c:ser>
        <c:dLbls>
          <c:dLblPos val="inEnd"/>
          <c:showLegendKey val="0"/>
          <c:showVal val="1"/>
          <c:showCatName val="0"/>
          <c:showSerName val="0"/>
          <c:showPercent val="0"/>
          <c:showBubbleSize val="0"/>
        </c:dLbls>
        <c:gapWidth val="164"/>
        <c:overlap val="-22"/>
        <c:axId val="1858743040"/>
        <c:axId val="1858743456"/>
      </c:barChart>
      <c:catAx>
        <c:axId val="185874304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858743456"/>
        <c:crosses val="autoZero"/>
        <c:auto val="1"/>
        <c:lblAlgn val="ctr"/>
        <c:lblOffset val="100"/>
        <c:noMultiLvlLbl val="0"/>
      </c:catAx>
      <c:valAx>
        <c:axId val="1858743456"/>
        <c:scaling>
          <c:orientation val="minMax"/>
        </c:scaling>
        <c:delete val="1"/>
        <c:axPos val="l"/>
        <c:numFmt formatCode="0" sourceLinked="1"/>
        <c:majorTickMark val="none"/>
        <c:minorTickMark val="none"/>
        <c:tickLblPos val="nextTo"/>
        <c:crossAx val="185874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Report!PivotTable9</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9898020559930011"/>
          <c:y val="0.27321399969221782"/>
          <c:w val="0.41570647419072615"/>
          <c:h val="0.59691212818813655"/>
        </c:manualLayout>
      </c:layout>
      <c:pieChart>
        <c:varyColors val="1"/>
        <c:ser>
          <c:idx val="0"/>
          <c:order val="0"/>
          <c:tx>
            <c:strRef>
              <c:f>'Pivot Report'!$B$63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0</c:formatCode>
                <c:ptCount val="2"/>
                <c:pt idx="0">
                  <c:v>268</c:v>
                </c:pt>
                <c:pt idx="1">
                  <c:v>201</c:v>
                </c:pt>
              </c:numCache>
            </c:numRef>
          </c:val>
          <c:extLst>
            <c:ext xmlns:c16="http://schemas.microsoft.com/office/drawing/2014/chart" uri="{C3380CC4-5D6E-409C-BE32-E72D297353CC}">
              <c16:uniqueId val="{00000005-224E-4A84-9AF4-12A27E7FA6D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2222222222222221"/>
          <c:y val="9.8147967852465559E-2"/>
          <c:w val="0.24326826334208226"/>
          <c:h val="0.2883652055388229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Report!PivotTable10</c:name>
    <c:fmtId val="3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65000"/>
                <a:lumOff val="3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8674103237095361"/>
          <c:y val="0.24867778535865581"/>
          <c:w val="0.42932633420822397"/>
          <c:h val="0.75132221464134419"/>
        </c:manualLayout>
      </c:layout>
      <c:doughnutChart>
        <c:varyColors val="1"/>
        <c:ser>
          <c:idx val="0"/>
          <c:order val="0"/>
          <c:tx>
            <c:strRef>
              <c:f>'Pivot Report'!$B$69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solidFill>
                <a:schemeClr val="tx1">
                  <a:lumMod val="65000"/>
                  <a:lumOff val="3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Report'!$A$70:$A$72</c:f>
              <c:strCache>
                <c:ptCount val="2"/>
                <c:pt idx="0">
                  <c:v>Female</c:v>
                </c:pt>
                <c:pt idx="1">
                  <c:v>Male</c:v>
                </c:pt>
              </c:strCache>
            </c:strRef>
          </c:cat>
          <c:val>
            <c:numRef>
              <c:f>'Pivot Report'!$B$70:$B$72</c:f>
              <c:numCache>
                <c:formatCode>0</c:formatCode>
                <c:ptCount val="2"/>
                <c:pt idx="0">
                  <c:v>241</c:v>
                </c:pt>
                <c:pt idx="1">
                  <c:v>228</c:v>
                </c:pt>
              </c:numCache>
            </c:numRef>
          </c:val>
          <c:extLst>
            <c:ext xmlns:c16="http://schemas.microsoft.com/office/drawing/2014/chart" uri="{C3380CC4-5D6E-409C-BE32-E72D297353CC}">
              <c16:uniqueId val="{00000005-E049-409A-8C88-B2FA5EE96B02}"/>
            </c:ext>
          </c:extLst>
        </c:ser>
        <c:dLbls>
          <c:showLegendKey val="0"/>
          <c:showVal val="0"/>
          <c:showCatName val="0"/>
          <c:showSerName val="0"/>
          <c:showPercent val="1"/>
          <c:showBubbleSize val="0"/>
          <c:showLeaderLines val="1"/>
        </c:dLbls>
        <c:firstSliceAng val="0"/>
        <c:holeSize val="50"/>
      </c:doughnutChart>
      <c:spPr>
        <a:noFill/>
        <a:ln>
          <a:noFill/>
        </a:ln>
        <a:effectLst>
          <a:outerShdw blurRad="50800" dist="50800" dir="5400000" sx="2000" sy="2000" algn="ctr" rotWithShape="0">
            <a:srgbClr val="000000">
              <a:alpha val="43137"/>
            </a:srgbClr>
          </a:outerShdw>
          <a:softEdge rad="152400"/>
        </a:effectLst>
      </c:spPr>
    </c:plotArea>
    <c:legend>
      <c:legendPos val="r"/>
      <c:layout>
        <c:manualLayout>
          <c:xMode val="edge"/>
          <c:yMode val="edge"/>
          <c:x val="0.22070374015748032"/>
          <c:y val="8.7106988541442262E-2"/>
          <c:w val="0.23906714785651795"/>
          <c:h val="0.3514454650454007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Report!PivotTable11</c:name>
    <c:fmtId val="36"/>
  </c:pivotSource>
  <c:chart>
    <c:autoTitleDeleted val="1"/>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1754019028871392"/>
          <c:y val="0.22399247258952648"/>
          <c:w val="0.49912647637795282"/>
          <c:h val="0.76772291780370372"/>
        </c:manualLayout>
      </c:layout>
      <c:bar3DChart>
        <c:barDir val="bar"/>
        <c:grouping val="stacked"/>
        <c:varyColors val="0"/>
        <c:ser>
          <c:idx val="0"/>
          <c:order val="0"/>
          <c:tx>
            <c:strRef>
              <c:f>'Pivot Report'!$B$75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Report'!$A$76:$A$84</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Report'!$B$76:$B$84</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1-BE23-4DA5-9970-E74E2658A841}"/>
            </c:ext>
          </c:extLst>
        </c:ser>
        <c:dLbls>
          <c:showLegendKey val="0"/>
          <c:showVal val="1"/>
          <c:showCatName val="0"/>
          <c:showSerName val="0"/>
          <c:showPercent val="0"/>
          <c:showBubbleSize val="0"/>
        </c:dLbls>
        <c:gapWidth val="79"/>
        <c:shape val="box"/>
        <c:axId val="1872279392"/>
        <c:axId val="1872272320"/>
        <c:axId val="0"/>
      </c:bar3DChart>
      <c:catAx>
        <c:axId val="187227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cap="all" spc="120" normalizeH="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crossAx val="1872272320"/>
        <c:crosses val="autoZero"/>
        <c:auto val="1"/>
        <c:lblAlgn val="ctr"/>
        <c:lblOffset val="100"/>
        <c:noMultiLvlLbl val="0"/>
      </c:catAx>
      <c:valAx>
        <c:axId val="1872272320"/>
        <c:scaling>
          <c:orientation val="minMax"/>
        </c:scaling>
        <c:delete val="1"/>
        <c:axPos val="b"/>
        <c:numFmt formatCode="0" sourceLinked="1"/>
        <c:majorTickMark val="none"/>
        <c:minorTickMark val="none"/>
        <c:tickLblPos val="nextTo"/>
        <c:crossAx val="1872279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183812621248436E-2"/>
          <c:y val="8.3333333333333329E-2"/>
          <c:w val="0.87510192475940507"/>
          <c:h val="0.77129192184310291"/>
        </c:manualLayout>
      </c:layout>
      <c:areaChart>
        <c:grouping val="standard"/>
        <c:varyColors val="0"/>
        <c:ser>
          <c:idx val="0"/>
          <c:order val="0"/>
          <c:tx>
            <c:strRef>
              <c:f>'Pivot Report'!$D$4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Report'!$C$5:$C$35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  </c:v>
                </c:pt>
                <c:pt idx="25">
                  <c:v>26-Apr</c:v>
                </c:pt>
                <c:pt idx="26">
                  <c:v>27-Apr</c:v>
                </c:pt>
                <c:pt idx="27">
                  <c:v>28-Apr</c:v>
                </c:pt>
                <c:pt idx="28">
                  <c:v>29-Apr</c:v>
                </c:pt>
                <c:pt idx="29">
                  <c:v>30-Apr</c:v>
                </c:pt>
              </c:strCache>
            </c:strRef>
          </c:cat>
          <c:val>
            <c:numRef>
              <c:f>'Pivot Report'!$D$5:$D$35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DB7F-4C18-9241-3D0716557F7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519314896"/>
        <c:axId val="1519316976"/>
      </c:areaChart>
      <c:catAx>
        <c:axId val="15193148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519316976"/>
        <c:crosses val="autoZero"/>
        <c:auto val="1"/>
        <c:lblAlgn val="ctr"/>
        <c:lblOffset val="100"/>
        <c:noMultiLvlLbl val="0"/>
      </c:catAx>
      <c:valAx>
        <c:axId val="15193169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crossAx val="15193148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Report!PivotTable5</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111906253005234E-2"/>
          <c:y val="3.8051750380517502E-2"/>
          <c:w val="0.91938234597350932"/>
          <c:h val="0.81425382614844377"/>
        </c:manualLayout>
      </c:layout>
      <c:areaChart>
        <c:grouping val="standard"/>
        <c:varyColors val="0"/>
        <c:ser>
          <c:idx val="0"/>
          <c:order val="0"/>
          <c:tx>
            <c:strRef>
              <c:f>'Pivot Report'!$G$4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Report'!$F$5:$F$35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Report'!$G$5:$G$35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8F32-46A1-A9F3-0607E3E5382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236372528"/>
        <c:axId val="1236372112"/>
      </c:areaChart>
      <c:catAx>
        <c:axId val="123637252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236372112"/>
        <c:crosses val="autoZero"/>
        <c:auto val="1"/>
        <c:lblAlgn val="ctr"/>
        <c:lblOffset val="100"/>
        <c:noMultiLvlLbl val="0"/>
      </c:catAx>
      <c:valAx>
        <c:axId val="12363721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crossAx val="12363725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Report!PivotTable6</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Report'!$I$5:$I$32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Report'!$J$5:$J$32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1-96EB-4BE0-AE24-B947CD0CAAE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674171712"/>
        <c:axId val="1674172544"/>
      </c:areaChart>
      <c:catAx>
        <c:axId val="167417171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674172544"/>
        <c:crosses val="autoZero"/>
        <c:auto val="1"/>
        <c:lblAlgn val="ctr"/>
        <c:lblOffset val="100"/>
        <c:noMultiLvlLbl val="0"/>
      </c:catAx>
      <c:valAx>
        <c:axId val="16741725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crossAx val="16741717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3.jpeg"/><Relationship Id="rId7" Type="http://schemas.openxmlformats.org/officeDocument/2006/relationships/hyperlink" Target="#'Average wait time daily trend'!A1"/><Relationship Id="rId12" Type="http://schemas.openxmlformats.org/officeDocument/2006/relationships/chart" Target="../charts/chart5.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emf"/><Relationship Id="rId5" Type="http://schemas.openxmlformats.org/officeDocument/2006/relationships/hyperlink" Target="#'Daily ER No. of patients'!A1"/><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jpeg"/><Relationship Id="rId9" Type="http://schemas.openxmlformats.org/officeDocument/2006/relationships/hyperlink" Target="#'Patient satisfaction score'!A1"/><Relationship Id="rId1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4</xdr:col>
      <xdr:colOff>16805</xdr:colOff>
      <xdr:row>43</xdr:row>
      <xdr:rowOff>0</xdr:rowOff>
    </xdr:from>
    <xdr:to>
      <xdr:col>5</xdr:col>
      <xdr:colOff>0</xdr:colOff>
      <xdr:row>44</xdr:row>
      <xdr:rowOff>164125</xdr:rowOff>
    </xdr:to>
    <xdr:graphicFrame macro="">
      <xdr:nvGraphicFramePr>
        <xdr:cNvPr id="5" name="Chart 4">
          <a:extLst>
            <a:ext uri="{FF2B5EF4-FFF2-40B4-BE49-F238E27FC236}">
              <a16:creationId xmlns:a16="http://schemas.microsoft.com/office/drawing/2014/main" id="{2B267AED-F897-41F7-88E0-4A0A6259B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0</xdr:colOff>
      <xdr:row>45</xdr:row>
      <xdr:rowOff>140677</xdr:rowOff>
    </xdr:from>
    <xdr:to>
      <xdr:col>5</xdr:col>
      <xdr:colOff>18470</xdr:colOff>
      <xdr:row>48</xdr:row>
      <xdr:rowOff>103100</xdr:rowOff>
    </xdr:to>
    <xdr:sp macro="" textlink="">
      <xdr:nvSpPr>
        <xdr:cNvPr id="6" name="Rectangle: Rounded Corners 5">
          <a:extLst>
            <a:ext uri="{FF2B5EF4-FFF2-40B4-BE49-F238E27FC236}">
              <a16:creationId xmlns:a16="http://schemas.microsoft.com/office/drawing/2014/main" id="{8D5AE118-7A71-48EA-BEAD-73413C393415}"/>
            </a:ext>
          </a:extLst>
        </xdr:cNvPr>
        <xdr:cNvSpPr/>
      </xdr:nvSpPr>
      <xdr:spPr>
        <a:xfrm>
          <a:off x="1037492" y="8358554"/>
          <a:ext cx="3441609" cy="507546"/>
        </a:xfrm>
        <a:prstGeom prst="roundRect">
          <a:avLst>
            <a:gd name="adj" fmla="val 11172"/>
          </a:avLst>
        </a:prstGeom>
        <a:solidFill>
          <a:schemeClr val="accent1">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49305</xdr:colOff>
      <xdr:row>0</xdr:row>
      <xdr:rowOff>71718</xdr:rowOff>
    </xdr:from>
    <xdr:to>
      <xdr:col>5</xdr:col>
      <xdr:colOff>42863</xdr:colOff>
      <xdr:row>3</xdr:row>
      <xdr:rowOff>22412</xdr:rowOff>
    </xdr:to>
    <xdr:sp macro="" textlink="">
      <xdr:nvSpPr>
        <xdr:cNvPr id="2" name="Rectangle: Rounded Corners 1">
          <a:extLst>
            <a:ext uri="{FF2B5EF4-FFF2-40B4-BE49-F238E27FC236}">
              <a16:creationId xmlns:a16="http://schemas.microsoft.com/office/drawing/2014/main" id="{1C7F90A6-D509-44CA-964B-624AECDCAACB}"/>
            </a:ext>
          </a:extLst>
        </xdr:cNvPr>
        <xdr:cNvSpPr/>
      </xdr:nvSpPr>
      <xdr:spPr>
        <a:xfrm>
          <a:off x="49305" y="71718"/>
          <a:ext cx="3041558" cy="493619"/>
        </a:xfrm>
        <a:prstGeom prst="roundRect">
          <a:avLst>
            <a:gd name="adj" fmla="val 23398"/>
          </a:avLst>
        </a:prstGeom>
        <a:solidFill>
          <a:schemeClr val="accent1">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109539</xdr:colOff>
      <xdr:row>0</xdr:row>
      <xdr:rowOff>71718</xdr:rowOff>
    </xdr:from>
    <xdr:to>
      <xdr:col>7</xdr:col>
      <xdr:colOff>43543</xdr:colOff>
      <xdr:row>3</xdr:row>
      <xdr:rowOff>22412</xdr:rowOff>
    </xdr:to>
    <xdr:sp macro="" textlink="">
      <xdr:nvSpPr>
        <xdr:cNvPr id="3" name="Rectangle: Rounded Corners 2">
          <a:extLst>
            <a:ext uri="{FF2B5EF4-FFF2-40B4-BE49-F238E27FC236}">
              <a16:creationId xmlns:a16="http://schemas.microsoft.com/office/drawing/2014/main" id="{FCB197FF-DEC3-4B45-9F0C-E8B97C4DC909}"/>
            </a:ext>
          </a:extLst>
        </xdr:cNvPr>
        <xdr:cNvSpPr/>
      </xdr:nvSpPr>
      <xdr:spPr>
        <a:xfrm>
          <a:off x="3157539" y="71718"/>
          <a:ext cx="1153204" cy="505865"/>
        </a:xfrm>
        <a:prstGeom prst="roundRect">
          <a:avLst>
            <a:gd name="adj" fmla="val 23398"/>
          </a:avLst>
        </a:prstGeom>
        <a:solidFill>
          <a:schemeClr val="accent1">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97210</xdr:colOff>
      <xdr:row>0</xdr:row>
      <xdr:rowOff>66675</xdr:rowOff>
    </xdr:from>
    <xdr:to>
      <xdr:col>10</xdr:col>
      <xdr:colOff>0</xdr:colOff>
      <xdr:row>7</xdr:row>
      <xdr:rowOff>0</xdr:rowOff>
    </xdr:to>
    <xdr:sp macro="" textlink="">
      <xdr:nvSpPr>
        <xdr:cNvPr id="4" name="Rectangle: Rounded Corners 3">
          <a:extLst>
            <a:ext uri="{FF2B5EF4-FFF2-40B4-BE49-F238E27FC236}">
              <a16:creationId xmlns:a16="http://schemas.microsoft.com/office/drawing/2014/main" id="{8DB66099-526F-40F2-BEAD-DFBB7E4E66CF}"/>
            </a:ext>
          </a:extLst>
        </xdr:cNvPr>
        <xdr:cNvSpPr/>
      </xdr:nvSpPr>
      <xdr:spPr>
        <a:xfrm>
          <a:off x="4364410" y="66675"/>
          <a:ext cx="1731590" cy="1228725"/>
        </a:xfrm>
        <a:prstGeom prst="roundRect">
          <a:avLst>
            <a:gd name="adj" fmla="val 6783"/>
          </a:avLst>
        </a:prstGeom>
        <a:solidFill>
          <a:schemeClr val="accent1">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49305</xdr:colOff>
      <xdr:row>3</xdr:row>
      <xdr:rowOff>107577</xdr:rowOff>
    </xdr:from>
    <xdr:to>
      <xdr:col>1</xdr:col>
      <xdr:colOff>147638</xdr:colOff>
      <xdr:row>16</xdr:row>
      <xdr:rowOff>100013</xdr:rowOff>
    </xdr:to>
    <xdr:sp macro="" textlink="">
      <xdr:nvSpPr>
        <xdr:cNvPr id="6" name="Rectangle: Rounded Corners 5">
          <a:extLst>
            <a:ext uri="{FF2B5EF4-FFF2-40B4-BE49-F238E27FC236}">
              <a16:creationId xmlns:a16="http://schemas.microsoft.com/office/drawing/2014/main" id="{8BCF2DC6-23C7-42A7-9E4F-C59FDBDBA14C}"/>
            </a:ext>
          </a:extLst>
        </xdr:cNvPr>
        <xdr:cNvSpPr/>
      </xdr:nvSpPr>
      <xdr:spPr>
        <a:xfrm>
          <a:off x="49305" y="650502"/>
          <a:ext cx="707933" cy="2345111"/>
        </a:xfrm>
        <a:prstGeom prst="roundRect">
          <a:avLst>
            <a:gd name="adj" fmla="val 20034"/>
          </a:avLst>
        </a:prstGeom>
        <a:solidFill>
          <a:schemeClr val="accent1">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196942</xdr:colOff>
      <xdr:row>3</xdr:row>
      <xdr:rowOff>98052</xdr:rowOff>
    </xdr:from>
    <xdr:to>
      <xdr:col>3</xdr:col>
      <xdr:colOff>63635</xdr:colOff>
      <xdr:row>6</xdr:row>
      <xdr:rowOff>157162</xdr:rowOff>
    </xdr:to>
    <xdr:sp macro="" textlink="">
      <xdr:nvSpPr>
        <xdr:cNvPr id="8" name="Rectangle: Rounded Corners 7">
          <a:extLst>
            <a:ext uri="{FF2B5EF4-FFF2-40B4-BE49-F238E27FC236}">
              <a16:creationId xmlns:a16="http://schemas.microsoft.com/office/drawing/2014/main" id="{4B6A5827-EFA3-40CF-ADC5-45A91469F4CB}"/>
            </a:ext>
          </a:extLst>
        </xdr:cNvPr>
        <xdr:cNvSpPr/>
      </xdr:nvSpPr>
      <xdr:spPr>
        <a:xfrm>
          <a:off x="806542" y="653223"/>
          <a:ext cx="1085893" cy="614282"/>
        </a:xfrm>
        <a:prstGeom prst="roundRect">
          <a:avLst>
            <a:gd name="adj" fmla="val 16278"/>
          </a:avLst>
        </a:prstGeom>
        <a:solidFill>
          <a:schemeClr val="accent1">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169237</xdr:colOff>
      <xdr:row>3</xdr:row>
      <xdr:rowOff>102814</xdr:rowOff>
    </xdr:from>
    <xdr:to>
      <xdr:col>5</xdr:col>
      <xdr:colOff>35930</xdr:colOff>
      <xdr:row>6</xdr:row>
      <xdr:rowOff>161924</xdr:rowOff>
    </xdr:to>
    <xdr:sp macro="" textlink="">
      <xdr:nvSpPr>
        <xdr:cNvPr id="9" name="Rectangle: Rounded Corners 8">
          <a:extLst>
            <a:ext uri="{FF2B5EF4-FFF2-40B4-BE49-F238E27FC236}">
              <a16:creationId xmlns:a16="http://schemas.microsoft.com/office/drawing/2014/main" id="{C070C164-4317-45EE-9C61-8268B0E90499}"/>
            </a:ext>
          </a:extLst>
        </xdr:cNvPr>
        <xdr:cNvSpPr/>
      </xdr:nvSpPr>
      <xdr:spPr>
        <a:xfrm>
          <a:off x="1998037" y="645739"/>
          <a:ext cx="1085893" cy="602035"/>
        </a:xfrm>
        <a:prstGeom prst="roundRect">
          <a:avLst>
            <a:gd name="adj" fmla="val 16278"/>
          </a:avLst>
        </a:prstGeom>
        <a:solidFill>
          <a:schemeClr val="accent1">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114257</xdr:colOff>
      <xdr:row>3</xdr:row>
      <xdr:rowOff>93290</xdr:rowOff>
    </xdr:from>
    <xdr:to>
      <xdr:col>7</xdr:col>
      <xdr:colOff>9526</xdr:colOff>
      <xdr:row>6</xdr:row>
      <xdr:rowOff>152400</xdr:rowOff>
    </xdr:to>
    <xdr:sp macro="" textlink="">
      <xdr:nvSpPr>
        <xdr:cNvPr id="10" name="Rectangle: Rounded Corners 9">
          <a:extLst>
            <a:ext uri="{FF2B5EF4-FFF2-40B4-BE49-F238E27FC236}">
              <a16:creationId xmlns:a16="http://schemas.microsoft.com/office/drawing/2014/main" id="{461CE0D5-3F9E-4E62-AB8C-A40B1AC4A724}"/>
            </a:ext>
          </a:extLst>
        </xdr:cNvPr>
        <xdr:cNvSpPr/>
      </xdr:nvSpPr>
      <xdr:spPr>
        <a:xfrm>
          <a:off x="3162257" y="648461"/>
          <a:ext cx="1114469" cy="614282"/>
        </a:xfrm>
        <a:prstGeom prst="roundRect">
          <a:avLst>
            <a:gd name="adj" fmla="val 16278"/>
          </a:avLst>
        </a:prstGeom>
        <a:solidFill>
          <a:schemeClr val="accent1">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10886</xdr:colOff>
      <xdr:row>0</xdr:row>
      <xdr:rowOff>70757</xdr:rowOff>
    </xdr:from>
    <xdr:to>
      <xdr:col>13</xdr:col>
      <xdr:colOff>29935</xdr:colOff>
      <xdr:row>16</xdr:row>
      <xdr:rowOff>185057</xdr:rowOff>
    </xdr:to>
    <xdr:cxnSp macro="">
      <xdr:nvCxnSpPr>
        <xdr:cNvPr id="13" name="Straight Connector 12">
          <a:extLst>
            <a:ext uri="{FF2B5EF4-FFF2-40B4-BE49-F238E27FC236}">
              <a16:creationId xmlns:a16="http://schemas.microsoft.com/office/drawing/2014/main" id="{A1D7C2B6-5817-43C3-8748-CA1B42D6AFBD}"/>
            </a:ext>
          </a:extLst>
        </xdr:cNvPr>
        <xdr:cNvCxnSpPr/>
      </xdr:nvCxnSpPr>
      <xdr:spPr>
        <a:xfrm>
          <a:off x="7935686" y="70757"/>
          <a:ext cx="19049" cy="307521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16</xdr:row>
      <xdr:rowOff>119063</xdr:rowOff>
    </xdr:from>
    <xdr:to>
      <xdr:col>11</xdr:col>
      <xdr:colOff>600075</xdr:colOff>
      <xdr:row>16</xdr:row>
      <xdr:rowOff>119063</xdr:rowOff>
    </xdr:to>
    <xdr:cxnSp macro="">
      <xdr:nvCxnSpPr>
        <xdr:cNvPr id="16" name="Straight Connector 15">
          <a:extLst>
            <a:ext uri="{FF2B5EF4-FFF2-40B4-BE49-F238E27FC236}">
              <a16:creationId xmlns:a16="http://schemas.microsoft.com/office/drawing/2014/main" id="{5B0BB58F-E5AB-42C2-90E2-56C09B1E0396}"/>
            </a:ext>
          </a:extLst>
        </xdr:cNvPr>
        <xdr:cNvCxnSpPr/>
      </xdr:nvCxnSpPr>
      <xdr:spPr>
        <a:xfrm>
          <a:off x="9525" y="3014663"/>
          <a:ext cx="72961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215991</xdr:colOff>
      <xdr:row>10</xdr:row>
      <xdr:rowOff>86405</xdr:rowOff>
    </xdr:from>
    <xdr:to>
      <xdr:col>7</xdr:col>
      <xdr:colOff>0</xdr:colOff>
      <xdr:row>16</xdr:row>
      <xdr:rowOff>119743</xdr:rowOff>
    </xdr:to>
    <xdr:sp macro="" textlink="">
      <xdr:nvSpPr>
        <xdr:cNvPr id="17" name="Rectangle: Rounded Corners 16">
          <a:extLst>
            <a:ext uri="{FF2B5EF4-FFF2-40B4-BE49-F238E27FC236}">
              <a16:creationId xmlns:a16="http://schemas.microsoft.com/office/drawing/2014/main" id="{7C6F6D8C-CA62-4993-AC30-AD40A68CF9DB}"/>
            </a:ext>
          </a:extLst>
        </xdr:cNvPr>
        <xdr:cNvSpPr/>
      </xdr:nvSpPr>
      <xdr:spPr>
        <a:xfrm>
          <a:off x="825591" y="1936976"/>
          <a:ext cx="3441609" cy="1143681"/>
        </a:xfrm>
        <a:prstGeom prst="roundRect">
          <a:avLst>
            <a:gd name="adj" fmla="val 5403"/>
          </a:avLst>
        </a:prstGeom>
        <a:solidFill>
          <a:schemeClr val="accent1">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100013</xdr:colOff>
      <xdr:row>8</xdr:row>
      <xdr:rowOff>0</xdr:rowOff>
    </xdr:from>
    <xdr:to>
      <xdr:col>13</xdr:col>
      <xdr:colOff>0</xdr:colOff>
      <xdr:row>16</xdr:row>
      <xdr:rowOff>108857</xdr:rowOff>
    </xdr:to>
    <xdr:sp macro="" textlink="">
      <xdr:nvSpPr>
        <xdr:cNvPr id="18" name="Rectangle: Rounded Corners 17">
          <a:extLst>
            <a:ext uri="{FF2B5EF4-FFF2-40B4-BE49-F238E27FC236}">
              <a16:creationId xmlns:a16="http://schemas.microsoft.com/office/drawing/2014/main" id="{457FB0FF-E8DC-476A-92EB-43DC104C7BB2}"/>
            </a:ext>
          </a:extLst>
        </xdr:cNvPr>
        <xdr:cNvSpPr/>
      </xdr:nvSpPr>
      <xdr:spPr>
        <a:xfrm>
          <a:off x="4367213" y="1480457"/>
          <a:ext cx="3557587" cy="1589314"/>
        </a:xfrm>
        <a:prstGeom prst="roundRect">
          <a:avLst>
            <a:gd name="adj" fmla="val 6783"/>
          </a:avLst>
        </a:prstGeom>
        <a:solidFill>
          <a:schemeClr val="accent1">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230279</xdr:colOff>
      <xdr:row>8</xdr:row>
      <xdr:rowOff>0</xdr:rowOff>
    </xdr:from>
    <xdr:to>
      <xdr:col>7</xdr:col>
      <xdr:colOff>0</xdr:colOff>
      <xdr:row>9</xdr:row>
      <xdr:rowOff>185057</xdr:rowOff>
    </xdr:to>
    <xdr:sp macro="" textlink="">
      <xdr:nvSpPr>
        <xdr:cNvPr id="19" name="Rectangle: Rounded Corners 18">
          <a:extLst>
            <a:ext uri="{FF2B5EF4-FFF2-40B4-BE49-F238E27FC236}">
              <a16:creationId xmlns:a16="http://schemas.microsoft.com/office/drawing/2014/main" id="{B330CAC7-2247-45AF-AEA8-DFCA2C5BBE91}"/>
            </a:ext>
          </a:extLst>
        </xdr:cNvPr>
        <xdr:cNvSpPr/>
      </xdr:nvSpPr>
      <xdr:spPr>
        <a:xfrm>
          <a:off x="839879" y="1480457"/>
          <a:ext cx="3427321" cy="370114"/>
        </a:xfrm>
        <a:prstGeom prst="roundRect">
          <a:avLst>
            <a:gd name="adj" fmla="val 32003"/>
          </a:avLst>
        </a:prstGeom>
        <a:solidFill>
          <a:schemeClr val="accent1">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IN" sz="1100"/>
        </a:p>
      </xdr:txBody>
    </xdr:sp>
    <xdr:clientData/>
  </xdr:twoCellAnchor>
  <xdr:twoCellAnchor editAs="absolute">
    <xdr:from>
      <xdr:col>0</xdr:col>
      <xdr:colOff>604838</xdr:colOff>
      <xdr:row>0</xdr:row>
      <xdr:rowOff>133350</xdr:rowOff>
    </xdr:from>
    <xdr:to>
      <xdr:col>4</xdr:col>
      <xdr:colOff>538163</xdr:colOff>
      <xdr:row>1</xdr:row>
      <xdr:rowOff>161925</xdr:rowOff>
    </xdr:to>
    <xdr:sp macro="" textlink="">
      <xdr:nvSpPr>
        <xdr:cNvPr id="20" name="TextBox 19">
          <a:extLst>
            <a:ext uri="{FF2B5EF4-FFF2-40B4-BE49-F238E27FC236}">
              <a16:creationId xmlns:a16="http://schemas.microsoft.com/office/drawing/2014/main" id="{555A7643-59AF-43A8-B4E1-D0DD9C026129}"/>
            </a:ext>
          </a:extLst>
        </xdr:cNvPr>
        <xdr:cNvSpPr txBox="1"/>
      </xdr:nvSpPr>
      <xdr:spPr>
        <a:xfrm>
          <a:off x="604838" y="133350"/>
          <a:ext cx="23717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a:solidFill>
                <a:schemeClr val="bg1"/>
              </a:solidFill>
              <a:latin typeface="Times New Roman" panose="02020603050405020304" pitchFamily="18" charset="0"/>
              <a:cs typeface="Times New Roman" panose="02020603050405020304" pitchFamily="18" charset="0"/>
            </a:rPr>
            <a:t>Hospital Emergency Room Dashboard </a:t>
          </a:r>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123825</xdr:colOff>
      <xdr:row>0</xdr:row>
      <xdr:rowOff>123826</xdr:rowOff>
    </xdr:from>
    <xdr:to>
      <xdr:col>0</xdr:col>
      <xdr:colOff>528638</xdr:colOff>
      <xdr:row>2</xdr:row>
      <xdr:rowOff>100013</xdr:rowOff>
    </xdr:to>
    <xdr:sp macro="" textlink="">
      <xdr:nvSpPr>
        <xdr:cNvPr id="23" name="Rectangle 22">
          <a:extLst>
            <a:ext uri="{FF2B5EF4-FFF2-40B4-BE49-F238E27FC236}">
              <a16:creationId xmlns:a16="http://schemas.microsoft.com/office/drawing/2014/main" id="{227C0570-6C92-4ACA-9F3C-52353E9F45D5}"/>
            </a:ext>
          </a:extLst>
        </xdr:cNvPr>
        <xdr:cNvSpPr/>
      </xdr:nvSpPr>
      <xdr:spPr>
        <a:xfrm>
          <a:off x="123825" y="123826"/>
          <a:ext cx="404813" cy="338137"/>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123825</xdr:colOff>
      <xdr:row>0</xdr:row>
      <xdr:rowOff>123826</xdr:rowOff>
    </xdr:from>
    <xdr:to>
      <xdr:col>0</xdr:col>
      <xdr:colOff>533400</xdr:colOff>
      <xdr:row>2</xdr:row>
      <xdr:rowOff>131410</xdr:rowOff>
    </xdr:to>
    <xdr:pic>
      <xdr:nvPicPr>
        <xdr:cNvPr id="24" name="Picture 23">
          <a:extLst>
            <a:ext uri="{FF2B5EF4-FFF2-40B4-BE49-F238E27FC236}">
              <a16:creationId xmlns:a16="http://schemas.microsoft.com/office/drawing/2014/main" id="{A2A2271C-AC0A-4B5B-A6B2-86C4A6A87B7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005" r="19457"/>
        <a:stretch/>
      </xdr:blipFill>
      <xdr:spPr>
        <a:xfrm>
          <a:off x="123825" y="123826"/>
          <a:ext cx="409575" cy="369534"/>
        </a:xfrm>
        <a:prstGeom prst="rect">
          <a:avLst/>
        </a:prstGeom>
      </xdr:spPr>
    </xdr:pic>
    <xdr:clientData/>
  </xdr:twoCellAnchor>
  <xdr:twoCellAnchor editAs="absolute">
    <xdr:from>
      <xdr:col>1</xdr:col>
      <xdr:colOff>519114</xdr:colOff>
      <xdr:row>1</xdr:row>
      <xdr:rowOff>119063</xdr:rowOff>
    </xdr:from>
    <xdr:to>
      <xdr:col>3</xdr:col>
      <xdr:colOff>309564</xdr:colOff>
      <xdr:row>2</xdr:row>
      <xdr:rowOff>119063</xdr:rowOff>
    </xdr:to>
    <xdr:sp macro="" textlink="">
      <xdr:nvSpPr>
        <xdr:cNvPr id="25" name="TextBox 24">
          <a:extLst>
            <a:ext uri="{FF2B5EF4-FFF2-40B4-BE49-F238E27FC236}">
              <a16:creationId xmlns:a16="http://schemas.microsoft.com/office/drawing/2014/main" id="{DE6BD8F1-7764-42D9-8BA0-A7976E1C5AC1}"/>
            </a:ext>
          </a:extLst>
        </xdr:cNvPr>
        <xdr:cNvSpPr txBox="1"/>
      </xdr:nvSpPr>
      <xdr:spPr>
        <a:xfrm>
          <a:off x="1128714" y="300038"/>
          <a:ext cx="100965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a:solidFill>
                <a:schemeClr val="bg1"/>
              </a:solidFill>
              <a:latin typeface="Times New Roman" panose="02020603050405020304" pitchFamily="18" charset="0"/>
              <a:cs typeface="Times New Roman" panose="02020603050405020304" pitchFamily="18" charset="0"/>
            </a:rPr>
            <a:t>Monthly Report</a:t>
          </a:r>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absolute">
    <xdr:from>
      <xdr:col>1</xdr:col>
      <xdr:colOff>223839</xdr:colOff>
      <xdr:row>4</xdr:row>
      <xdr:rowOff>104775</xdr:rowOff>
    </xdr:from>
    <xdr:to>
      <xdr:col>3</xdr:col>
      <xdr:colOff>14289</xdr:colOff>
      <xdr:row>5</xdr:row>
      <xdr:rowOff>104775</xdr:rowOff>
    </xdr:to>
    <xdr:sp macro="" textlink="">
      <xdr:nvSpPr>
        <xdr:cNvPr id="30" name="TextBox 29">
          <a:extLst>
            <a:ext uri="{FF2B5EF4-FFF2-40B4-BE49-F238E27FC236}">
              <a16:creationId xmlns:a16="http://schemas.microsoft.com/office/drawing/2014/main" id="{432C5FCE-A4F9-4472-AC01-7530A21CF313}"/>
            </a:ext>
          </a:extLst>
        </xdr:cNvPr>
        <xdr:cNvSpPr txBox="1"/>
      </xdr:nvSpPr>
      <xdr:spPr>
        <a:xfrm>
          <a:off x="833439" y="828675"/>
          <a:ext cx="100965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0">
              <a:solidFill>
                <a:schemeClr val="bg1"/>
              </a:solidFill>
              <a:latin typeface="Times New Roman" panose="02020603050405020304" pitchFamily="18" charset="0"/>
              <a:cs typeface="Times New Roman" panose="02020603050405020304" pitchFamily="18" charset="0"/>
            </a:rPr>
            <a:t>No</a:t>
          </a:r>
          <a:r>
            <a:rPr lang="en-IN" sz="1050" b="0">
              <a:solidFill>
                <a:schemeClr val="bg1"/>
              </a:solidFill>
              <a:latin typeface="Times New Roman" panose="02020603050405020304" pitchFamily="18" charset="0"/>
              <a:cs typeface="Times New Roman" panose="02020603050405020304" pitchFamily="18" charset="0"/>
            </a:rPr>
            <a:t>. </a:t>
          </a:r>
          <a:r>
            <a:rPr lang="en-IN" sz="800" b="0">
              <a:solidFill>
                <a:schemeClr val="bg1"/>
              </a:solidFill>
              <a:latin typeface="Times New Roman" panose="02020603050405020304" pitchFamily="18" charset="0"/>
              <a:cs typeface="Times New Roman" panose="02020603050405020304" pitchFamily="18" charset="0"/>
            </a:rPr>
            <a:t>of</a:t>
          </a:r>
          <a:r>
            <a:rPr lang="en-IN" sz="1050" b="0">
              <a:solidFill>
                <a:schemeClr val="bg1"/>
              </a:solidFill>
              <a:latin typeface="Times New Roman" panose="02020603050405020304" pitchFamily="18" charset="0"/>
              <a:cs typeface="Times New Roman" panose="02020603050405020304" pitchFamily="18" charset="0"/>
            </a:rPr>
            <a:t> </a:t>
          </a:r>
          <a:r>
            <a:rPr lang="en-US" sz="800" b="0">
              <a:solidFill>
                <a:schemeClr val="bg1"/>
              </a:solidFill>
              <a:latin typeface="Times New Roman" panose="02020603050405020304" pitchFamily="18" charset="0"/>
              <a:cs typeface="Times New Roman" panose="02020603050405020304" pitchFamily="18" charset="0"/>
            </a:rPr>
            <a:t>Patients</a:t>
          </a:r>
          <a:r>
            <a:rPr lang="en-US" sz="1050" b="0">
              <a:solidFill>
                <a:schemeClr val="bg1"/>
              </a:solidFill>
              <a:latin typeface="Times New Roman" panose="02020603050405020304" pitchFamily="18" charset="0"/>
              <a:cs typeface="Times New Roman" panose="02020603050405020304" pitchFamily="18" charset="0"/>
            </a:rPr>
            <a:t> </a:t>
          </a:r>
          <a:endParaRPr lang="en-IN" sz="105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absolute">
    <xdr:from>
      <xdr:col>1</xdr:col>
      <xdr:colOff>223839</xdr:colOff>
      <xdr:row>3</xdr:row>
      <xdr:rowOff>171450</xdr:rowOff>
    </xdr:from>
    <xdr:to>
      <xdr:col>3</xdr:col>
      <xdr:colOff>14289</xdr:colOff>
      <xdr:row>4</xdr:row>
      <xdr:rowOff>171450</xdr:rowOff>
    </xdr:to>
    <xdr:sp macro="" textlink="'Pivot Report'!A5">
      <xdr:nvSpPr>
        <xdr:cNvPr id="31" name="TextBox 30">
          <a:extLst>
            <a:ext uri="{FF2B5EF4-FFF2-40B4-BE49-F238E27FC236}">
              <a16:creationId xmlns:a16="http://schemas.microsoft.com/office/drawing/2014/main" id="{0086FC16-3D34-4C2A-B866-91A87789FE9E}"/>
            </a:ext>
          </a:extLst>
        </xdr:cNvPr>
        <xdr:cNvSpPr txBox="1"/>
      </xdr:nvSpPr>
      <xdr:spPr>
        <a:xfrm>
          <a:off x="833439" y="714375"/>
          <a:ext cx="100965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F0093F5-312D-4EF7-B1DC-A8FAC69F554C}" type="TxLink">
            <a:rPr lang="en-US" sz="1100" b="0" i="0" u="none" strike="noStrike">
              <a:ln>
                <a:solidFill>
                  <a:schemeClr val="bg1"/>
                </a:solidFill>
              </a:ln>
              <a:solidFill>
                <a:schemeClr val="bg1">
                  <a:lumMod val="95000"/>
                </a:schemeClr>
              </a:solidFill>
              <a:latin typeface="Times New Roman" panose="02020603050405020304" pitchFamily="18" charset="0"/>
              <a:ea typeface="Calibri"/>
              <a:cs typeface="Times New Roman" panose="02020603050405020304" pitchFamily="18" charset="0"/>
            </a:rPr>
            <a:pPr algn="ctr"/>
            <a:t>469</a:t>
          </a:fld>
          <a:endParaRPr lang="en-US" sz="1100">
            <a:ln>
              <a:solidFill>
                <a:schemeClr val="bg1"/>
              </a:solidFill>
            </a:ln>
            <a:solidFill>
              <a:schemeClr val="bg1">
                <a:lumMod val="95000"/>
              </a:schemeClr>
            </a:solidFill>
            <a:latin typeface="Times New Roman" panose="02020603050405020304" pitchFamily="18" charset="0"/>
            <a:cs typeface="Times New Roman" panose="02020603050405020304" pitchFamily="18" charset="0"/>
          </a:endParaRPr>
        </a:p>
      </xdr:txBody>
    </xdr:sp>
    <xdr:clientData/>
  </xdr:twoCellAnchor>
  <xdr:twoCellAnchor editAs="absolute">
    <xdr:from>
      <xdr:col>3</xdr:col>
      <xdr:colOff>137624</xdr:colOff>
      <xdr:row>5</xdr:row>
      <xdr:rowOff>4762</xdr:rowOff>
    </xdr:from>
    <xdr:to>
      <xdr:col>5</xdr:col>
      <xdr:colOff>85724</xdr:colOff>
      <xdr:row>6</xdr:row>
      <xdr:rowOff>4762</xdr:rowOff>
    </xdr:to>
    <xdr:sp macro="" textlink="">
      <xdr:nvSpPr>
        <xdr:cNvPr id="33" name="TextBox 32">
          <a:extLst>
            <a:ext uri="{FF2B5EF4-FFF2-40B4-BE49-F238E27FC236}">
              <a16:creationId xmlns:a16="http://schemas.microsoft.com/office/drawing/2014/main" id="{49154493-6C12-46E9-BE66-0B34F31F61AD}"/>
            </a:ext>
          </a:extLst>
        </xdr:cNvPr>
        <xdr:cNvSpPr txBox="1"/>
      </xdr:nvSpPr>
      <xdr:spPr>
        <a:xfrm>
          <a:off x="1966424" y="930048"/>
          <a:ext cx="1167300" cy="185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b="0">
              <a:solidFill>
                <a:schemeClr val="bg1"/>
              </a:solidFill>
              <a:latin typeface="Times New Roman" panose="02020603050405020304" pitchFamily="18" charset="0"/>
              <a:cs typeface="Times New Roman" panose="02020603050405020304" pitchFamily="18" charset="0"/>
            </a:rPr>
            <a:t>Avg. Wait Time(Min)</a:t>
          </a:r>
          <a:endParaRPr lang="en-IN" sz="8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absolute">
    <xdr:from>
      <xdr:col>3</xdr:col>
      <xdr:colOff>102562</xdr:colOff>
      <xdr:row>3</xdr:row>
      <xdr:rowOff>164727</xdr:rowOff>
    </xdr:from>
    <xdr:to>
      <xdr:col>5</xdr:col>
      <xdr:colOff>54936</xdr:colOff>
      <xdr:row>4</xdr:row>
      <xdr:rowOff>164727</xdr:rowOff>
    </xdr:to>
    <xdr:sp macro="" textlink="'Pivot Report'!A9">
      <xdr:nvSpPr>
        <xdr:cNvPr id="34" name="TextBox 33">
          <a:extLst>
            <a:ext uri="{FF2B5EF4-FFF2-40B4-BE49-F238E27FC236}">
              <a16:creationId xmlns:a16="http://schemas.microsoft.com/office/drawing/2014/main" id="{2C247379-FD12-4181-8D99-5EC2B60BD0B2}"/>
            </a:ext>
          </a:extLst>
        </xdr:cNvPr>
        <xdr:cNvSpPr txBox="1"/>
      </xdr:nvSpPr>
      <xdr:spPr>
        <a:xfrm>
          <a:off x="1931362" y="707652"/>
          <a:ext cx="1171574"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FF572EE-3F86-46BB-B572-E529E28289CF}" type="TxLink">
            <a:rPr lang="en-US" sz="1100" b="0" i="0" u="none" strike="noStrike">
              <a:ln>
                <a:solidFill>
                  <a:schemeClr val="bg1"/>
                </a:solidFill>
              </a:ln>
              <a:solidFill>
                <a:schemeClr val="bg1">
                  <a:lumMod val="95000"/>
                </a:schemeClr>
              </a:solidFill>
              <a:latin typeface="Times New Roman" panose="02020603050405020304" pitchFamily="18" charset="0"/>
              <a:ea typeface="Calibri"/>
              <a:cs typeface="Times New Roman" panose="02020603050405020304" pitchFamily="18" charset="0"/>
            </a:rPr>
            <a:pPr algn="ctr"/>
            <a:t>35.04</a:t>
          </a:fld>
          <a:endParaRPr lang="en-US" b="0">
            <a:ln>
              <a:solidFill>
                <a:schemeClr val="bg1"/>
              </a:solidFill>
            </a:ln>
            <a:solidFill>
              <a:schemeClr val="bg1">
                <a:lumMod val="95000"/>
              </a:schemeClr>
            </a:solidFill>
            <a:latin typeface="Times New Roman" panose="02020603050405020304" pitchFamily="18" charset="0"/>
            <a:cs typeface="Times New Roman" panose="02020603050405020304" pitchFamily="18" charset="0"/>
          </a:endParaRPr>
        </a:p>
      </xdr:txBody>
    </xdr:sp>
    <xdr:clientData/>
  </xdr:twoCellAnchor>
  <xdr:twoCellAnchor editAs="absolute">
    <xdr:from>
      <xdr:col>5</xdr:col>
      <xdr:colOff>95252</xdr:colOff>
      <xdr:row>4</xdr:row>
      <xdr:rowOff>157162</xdr:rowOff>
    </xdr:from>
    <xdr:to>
      <xdr:col>7</xdr:col>
      <xdr:colOff>47626</xdr:colOff>
      <xdr:row>5</xdr:row>
      <xdr:rowOff>157162</xdr:rowOff>
    </xdr:to>
    <xdr:sp macro="" textlink="">
      <xdr:nvSpPr>
        <xdr:cNvPr id="35" name="TextBox 34">
          <a:extLst>
            <a:ext uri="{FF2B5EF4-FFF2-40B4-BE49-F238E27FC236}">
              <a16:creationId xmlns:a16="http://schemas.microsoft.com/office/drawing/2014/main" id="{B0ADDD9A-00B9-46FB-946C-BF8255D494F8}"/>
            </a:ext>
          </a:extLst>
        </xdr:cNvPr>
        <xdr:cNvSpPr txBox="1"/>
      </xdr:nvSpPr>
      <xdr:spPr>
        <a:xfrm>
          <a:off x="3143252" y="881062"/>
          <a:ext cx="1171574"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b="0">
              <a:solidFill>
                <a:schemeClr val="bg1"/>
              </a:solidFill>
              <a:latin typeface="Times New Roman" panose="02020603050405020304" pitchFamily="18" charset="0"/>
              <a:cs typeface="Times New Roman" panose="02020603050405020304" pitchFamily="18" charset="0"/>
            </a:rPr>
            <a:t>Patient Satisfaction Score</a:t>
          </a:r>
          <a:endParaRPr lang="en-IN" sz="8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absolute">
    <xdr:from>
      <xdr:col>5</xdr:col>
      <xdr:colOff>76202</xdr:colOff>
      <xdr:row>3</xdr:row>
      <xdr:rowOff>152399</xdr:rowOff>
    </xdr:from>
    <xdr:to>
      <xdr:col>7</xdr:col>
      <xdr:colOff>28576</xdr:colOff>
      <xdr:row>4</xdr:row>
      <xdr:rowOff>152399</xdr:rowOff>
    </xdr:to>
    <xdr:sp macro="" textlink="'Pivot Report'!A12">
      <xdr:nvSpPr>
        <xdr:cNvPr id="36" name="TextBox 35">
          <a:extLst>
            <a:ext uri="{FF2B5EF4-FFF2-40B4-BE49-F238E27FC236}">
              <a16:creationId xmlns:a16="http://schemas.microsoft.com/office/drawing/2014/main" id="{52FEE97A-BFD6-4830-9671-2EA5D65719C4}"/>
            </a:ext>
          </a:extLst>
        </xdr:cNvPr>
        <xdr:cNvSpPr txBox="1"/>
      </xdr:nvSpPr>
      <xdr:spPr>
        <a:xfrm>
          <a:off x="3124202" y="695324"/>
          <a:ext cx="1171574"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C69E596-3817-4950-A483-849FDD9D2565}" type="TxLink">
            <a:rPr lang="en-US" sz="1100" b="0" i="0" u="none" strike="noStrike">
              <a:ln>
                <a:solidFill>
                  <a:schemeClr val="bg1"/>
                </a:solidFill>
              </a:ln>
              <a:solidFill>
                <a:schemeClr val="bg1">
                  <a:lumMod val="95000"/>
                </a:schemeClr>
              </a:solidFill>
              <a:latin typeface="Calibri"/>
              <a:ea typeface="Calibri"/>
              <a:cs typeface="Calibri"/>
            </a:rPr>
            <a:pPr algn="ctr"/>
            <a:t>4.63</a:t>
          </a:fld>
          <a:endParaRPr lang="en-IN" sz="800" b="0">
            <a:ln>
              <a:solidFill>
                <a:schemeClr val="bg1"/>
              </a:solidFill>
            </a:ln>
            <a:solidFill>
              <a:schemeClr val="bg1">
                <a:lumMod val="95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376238</xdr:colOff>
      <xdr:row>3</xdr:row>
      <xdr:rowOff>166689</xdr:rowOff>
    </xdr:from>
    <xdr:to>
      <xdr:col>2</xdr:col>
      <xdr:colOff>569500</xdr:colOff>
      <xdr:row>4</xdr:row>
      <xdr:rowOff>142876</xdr:rowOff>
    </xdr:to>
    <xdr:pic>
      <xdr:nvPicPr>
        <xdr:cNvPr id="38" name="Picture 37">
          <a:extLst>
            <a:ext uri="{FF2B5EF4-FFF2-40B4-BE49-F238E27FC236}">
              <a16:creationId xmlns:a16="http://schemas.microsoft.com/office/drawing/2014/main" id="{6EB6388C-0E8A-4244-938F-C782559B56E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3473" t="16805" r="12916" b="23334"/>
        <a:stretch/>
      </xdr:blipFill>
      <xdr:spPr>
        <a:xfrm>
          <a:off x="1595438" y="709614"/>
          <a:ext cx="193262" cy="157162"/>
        </a:xfrm>
        <a:prstGeom prst="rect">
          <a:avLst/>
        </a:prstGeom>
      </xdr:spPr>
    </xdr:pic>
    <xdr:clientData/>
  </xdr:twoCellAnchor>
  <xdr:twoCellAnchor editAs="oneCell">
    <xdr:from>
      <xdr:col>6</xdr:col>
      <xdr:colOff>347664</xdr:colOff>
      <xdr:row>3</xdr:row>
      <xdr:rowOff>157161</xdr:rowOff>
    </xdr:from>
    <xdr:to>
      <xdr:col>6</xdr:col>
      <xdr:colOff>538163</xdr:colOff>
      <xdr:row>4</xdr:row>
      <xdr:rowOff>143291</xdr:rowOff>
    </xdr:to>
    <xdr:pic>
      <xdr:nvPicPr>
        <xdr:cNvPr id="40" name="Picture 39">
          <a:extLst>
            <a:ext uri="{FF2B5EF4-FFF2-40B4-BE49-F238E27FC236}">
              <a16:creationId xmlns:a16="http://schemas.microsoft.com/office/drawing/2014/main" id="{4DF96B27-5D75-4B1C-9C9B-92C19D5EFD8D}"/>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4678" b="7603"/>
        <a:stretch/>
      </xdr:blipFill>
      <xdr:spPr>
        <a:xfrm>
          <a:off x="4005264" y="700086"/>
          <a:ext cx="190499" cy="167105"/>
        </a:xfrm>
        <a:prstGeom prst="rect">
          <a:avLst/>
        </a:prstGeom>
      </xdr:spPr>
    </xdr:pic>
    <xdr:clientData/>
  </xdr:twoCellAnchor>
  <xdr:twoCellAnchor editAs="oneCell">
    <xdr:from>
      <xdr:col>4</xdr:col>
      <xdr:colOff>390526</xdr:colOff>
      <xdr:row>3</xdr:row>
      <xdr:rowOff>152400</xdr:rowOff>
    </xdr:from>
    <xdr:to>
      <xdr:col>4</xdr:col>
      <xdr:colOff>577988</xdr:colOff>
      <xdr:row>4</xdr:row>
      <xdr:rowOff>152400</xdr:rowOff>
    </xdr:to>
    <xdr:pic>
      <xdr:nvPicPr>
        <xdr:cNvPr id="42" name="Picture 41">
          <a:extLst>
            <a:ext uri="{FF2B5EF4-FFF2-40B4-BE49-F238E27FC236}">
              <a16:creationId xmlns:a16="http://schemas.microsoft.com/office/drawing/2014/main" id="{51651101-4556-4652-B29C-E586B728D03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1614" t="16927" r="20313" b="16927"/>
        <a:stretch/>
      </xdr:blipFill>
      <xdr:spPr>
        <a:xfrm>
          <a:off x="2828926" y="695325"/>
          <a:ext cx="187462" cy="180975"/>
        </a:xfrm>
        <a:prstGeom prst="rect">
          <a:avLst/>
        </a:prstGeom>
      </xdr:spPr>
    </xdr:pic>
    <xdr:clientData/>
  </xdr:twoCellAnchor>
  <xdr:twoCellAnchor editAs="oneCell">
    <xdr:from>
      <xdr:col>0</xdr:col>
      <xdr:colOff>104121</xdr:colOff>
      <xdr:row>3</xdr:row>
      <xdr:rowOff>185057</xdr:rowOff>
    </xdr:from>
    <xdr:to>
      <xdr:col>1</xdr:col>
      <xdr:colOff>97971</xdr:colOff>
      <xdr:row>16</xdr:row>
      <xdr:rowOff>46945</xdr:rowOff>
    </xdr:to>
    <mc:AlternateContent xmlns:mc="http://schemas.openxmlformats.org/markup-compatibility/2006">
      <mc:Choice xmlns:a14="http://schemas.microsoft.com/office/drawing/2010/main" Requires="a14">
        <xdr:graphicFrame macro="">
          <xdr:nvGraphicFramePr>
            <xdr:cNvPr id="43" name="Date (Month)">
              <a:extLst>
                <a:ext uri="{FF2B5EF4-FFF2-40B4-BE49-F238E27FC236}">
                  <a16:creationId xmlns:a16="http://schemas.microsoft.com/office/drawing/2014/main" id="{94E30366-4406-4A4C-B963-A8E81F515FF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04121" y="740228"/>
              <a:ext cx="603450" cy="2267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190500</xdr:colOff>
      <xdr:row>4</xdr:row>
      <xdr:rowOff>138113</xdr:rowOff>
    </xdr:from>
    <xdr:to>
      <xdr:col>3</xdr:col>
      <xdr:colOff>80964</xdr:colOff>
      <xdr:row>7</xdr:row>
      <xdr:rowOff>4764</xdr:rowOff>
    </xdr:to>
    <xdr:graphicFrame macro="">
      <xdr:nvGraphicFramePr>
        <xdr:cNvPr id="44" name="Chart 43">
          <a:hlinkClick xmlns:r="http://schemas.openxmlformats.org/officeDocument/2006/relationships" r:id="rId5"/>
          <a:extLst>
            <a:ext uri="{FF2B5EF4-FFF2-40B4-BE49-F238E27FC236}">
              <a16:creationId xmlns:a16="http://schemas.microsoft.com/office/drawing/2014/main" id="{79E495B9-409A-45CC-9398-302EEA85D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76200</xdr:colOff>
      <xdr:row>4</xdr:row>
      <xdr:rowOff>170771</xdr:rowOff>
    </xdr:from>
    <xdr:to>
      <xdr:col>5</xdr:col>
      <xdr:colOff>157164</xdr:colOff>
      <xdr:row>7</xdr:row>
      <xdr:rowOff>108858</xdr:rowOff>
    </xdr:to>
    <xdr:graphicFrame macro="">
      <xdr:nvGraphicFramePr>
        <xdr:cNvPr id="45" name="Chart 44">
          <a:hlinkClick xmlns:r="http://schemas.openxmlformats.org/officeDocument/2006/relationships" r:id="rId7"/>
          <a:extLst>
            <a:ext uri="{FF2B5EF4-FFF2-40B4-BE49-F238E27FC236}">
              <a16:creationId xmlns:a16="http://schemas.microsoft.com/office/drawing/2014/main" id="{F869D406-5BC6-4CE6-AA7E-407652590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114257</xdr:colOff>
      <xdr:row>3</xdr:row>
      <xdr:rowOff>16330</xdr:rowOff>
    </xdr:from>
    <xdr:to>
      <xdr:col>8</xdr:col>
      <xdr:colOff>108857</xdr:colOff>
      <xdr:row>7</xdr:row>
      <xdr:rowOff>130029</xdr:rowOff>
    </xdr:to>
    <xdr:graphicFrame macro="">
      <xdr:nvGraphicFramePr>
        <xdr:cNvPr id="37" name="Chart 36">
          <a:hlinkClick xmlns:r="http://schemas.openxmlformats.org/officeDocument/2006/relationships" r:id="rId9"/>
          <a:extLst>
            <a:ext uri="{FF2B5EF4-FFF2-40B4-BE49-F238E27FC236}">
              <a16:creationId xmlns:a16="http://schemas.microsoft.com/office/drawing/2014/main" id="{DCAEB828-147C-4B45-8DF7-3AF2D3484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220980</xdr:colOff>
          <xdr:row>7</xdr:row>
          <xdr:rowOff>92210</xdr:rowOff>
        </xdr:from>
        <xdr:to>
          <xdr:col>7</xdr:col>
          <xdr:colOff>0</xdr:colOff>
          <xdr:row>9</xdr:row>
          <xdr:rowOff>185057</xdr:rowOff>
        </xdr:to>
        <xdr:pic>
          <xdr:nvPicPr>
            <xdr:cNvPr id="52" name="Picture 51">
              <a:extLst>
                <a:ext uri="{FF2B5EF4-FFF2-40B4-BE49-F238E27FC236}">
                  <a16:creationId xmlns:a16="http://schemas.microsoft.com/office/drawing/2014/main" id="{27575753-9A49-4CD1-A5B0-0FCDDAE95EB3}"/>
                </a:ext>
              </a:extLst>
            </xdr:cNvPr>
            <xdr:cNvPicPr>
              <a:picLocks noChangeAspect="1" noChangeArrowheads="1"/>
              <a:extLst>
                <a:ext uri="{84589F7E-364E-4C9E-8A38-B11213B215E9}">
                  <a14:cameraTool cellRange="'Pivot Report'!$B$43:$E$45" spid="_x0000_s1041"/>
                </a:ext>
              </a:extLst>
            </xdr:cNvPicPr>
          </xdr:nvPicPr>
          <xdr:blipFill>
            <a:blip xmlns:r="http://schemas.openxmlformats.org/officeDocument/2006/relationships" r:embed="rId11"/>
            <a:srcRect/>
            <a:stretch>
              <a:fillRect/>
            </a:stretch>
          </xdr:blipFill>
          <xdr:spPr bwMode="auto">
            <a:xfrm>
              <a:off x="830580" y="1387610"/>
              <a:ext cx="3436620" cy="46296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304799</xdr:colOff>
      <xdr:row>10</xdr:row>
      <xdr:rowOff>114301</xdr:rowOff>
    </xdr:from>
    <xdr:to>
      <xdr:col>7</xdr:col>
      <xdr:colOff>0</xdr:colOff>
      <xdr:row>15</xdr:row>
      <xdr:rowOff>0</xdr:rowOff>
    </xdr:to>
    <xdr:graphicFrame macro="">
      <xdr:nvGraphicFramePr>
        <xdr:cNvPr id="53" name="Chart 52">
          <a:extLst>
            <a:ext uri="{FF2B5EF4-FFF2-40B4-BE49-F238E27FC236}">
              <a16:creationId xmlns:a16="http://schemas.microsoft.com/office/drawing/2014/main" id="{0196DEE6-57BC-483C-A462-1E3086C7E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2</xdr:col>
      <xdr:colOff>495300</xdr:colOff>
      <xdr:row>15</xdr:row>
      <xdr:rowOff>0</xdr:rowOff>
    </xdr:from>
    <xdr:to>
      <xdr:col>5</xdr:col>
      <xdr:colOff>424543</xdr:colOff>
      <xdr:row>16</xdr:row>
      <xdr:rowOff>16328</xdr:rowOff>
    </xdr:to>
    <xdr:sp macro="" textlink="">
      <xdr:nvSpPr>
        <xdr:cNvPr id="54" name="TextBox 53">
          <a:extLst>
            <a:ext uri="{FF2B5EF4-FFF2-40B4-BE49-F238E27FC236}">
              <a16:creationId xmlns:a16="http://schemas.microsoft.com/office/drawing/2014/main" id="{5D6B4E98-73F1-4E90-80C8-8DC9E0F8737C}"/>
            </a:ext>
          </a:extLst>
        </xdr:cNvPr>
        <xdr:cNvSpPr txBox="1"/>
      </xdr:nvSpPr>
      <xdr:spPr>
        <a:xfrm>
          <a:off x="1714500" y="2775857"/>
          <a:ext cx="1758043"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0">
              <a:solidFill>
                <a:schemeClr val="bg1"/>
              </a:solidFill>
              <a:latin typeface="Times New Roman" panose="02020603050405020304" pitchFamily="18" charset="0"/>
              <a:cs typeface="Times New Roman" panose="02020603050405020304" pitchFamily="18" charset="0"/>
            </a:rPr>
            <a:t>No</a:t>
          </a:r>
          <a:r>
            <a:rPr lang="en-IN" sz="1050" b="0">
              <a:solidFill>
                <a:schemeClr val="bg1"/>
              </a:solidFill>
              <a:latin typeface="Times New Roman" panose="02020603050405020304" pitchFamily="18" charset="0"/>
              <a:cs typeface="Times New Roman" panose="02020603050405020304" pitchFamily="18" charset="0"/>
            </a:rPr>
            <a:t>. </a:t>
          </a:r>
          <a:r>
            <a:rPr lang="en-IN" sz="800" b="0">
              <a:solidFill>
                <a:schemeClr val="bg1"/>
              </a:solidFill>
              <a:latin typeface="Times New Roman" panose="02020603050405020304" pitchFamily="18" charset="0"/>
              <a:cs typeface="Times New Roman" panose="02020603050405020304" pitchFamily="18" charset="0"/>
            </a:rPr>
            <a:t>of</a:t>
          </a:r>
          <a:r>
            <a:rPr lang="en-IN" sz="1050" b="0">
              <a:solidFill>
                <a:schemeClr val="bg1"/>
              </a:solidFill>
              <a:latin typeface="Times New Roman" panose="02020603050405020304" pitchFamily="18" charset="0"/>
              <a:cs typeface="Times New Roman" panose="02020603050405020304" pitchFamily="18" charset="0"/>
            </a:rPr>
            <a:t> </a:t>
          </a:r>
          <a:r>
            <a:rPr lang="en-US" sz="800" b="0">
              <a:solidFill>
                <a:schemeClr val="bg1"/>
              </a:solidFill>
              <a:latin typeface="Times New Roman" panose="02020603050405020304" pitchFamily="18" charset="0"/>
              <a:cs typeface="Times New Roman" panose="02020603050405020304" pitchFamily="18" charset="0"/>
            </a:rPr>
            <a:t>Patients by Age Group</a:t>
          </a:r>
          <a:r>
            <a:rPr lang="en-US" sz="1050" b="0">
              <a:solidFill>
                <a:schemeClr val="bg1"/>
              </a:solidFill>
              <a:latin typeface="Times New Roman" panose="02020603050405020304" pitchFamily="18" charset="0"/>
              <a:cs typeface="Times New Roman" panose="02020603050405020304" pitchFamily="18" charset="0"/>
            </a:rPr>
            <a:t> </a:t>
          </a:r>
          <a:endParaRPr lang="en-IN" sz="105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0</xdr:colOff>
      <xdr:row>0</xdr:row>
      <xdr:rowOff>21772</xdr:rowOff>
    </xdr:from>
    <xdr:to>
      <xdr:col>10</xdr:col>
      <xdr:colOff>0</xdr:colOff>
      <xdr:row>7</xdr:row>
      <xdr:rowOff>0</xdr:rowOff>
    </xdr:to>
    <xdr:graphicFrame macro="">
      <xdr:nvGraphicFramePr>
        <xdr:cNvPr id="56" name="Chart 55">
          <a:extLst>
            <a:ext uri="{FF2B5EF4-FFF2-40B4-BE49-F238E27FC236}">
              <a16:creationId xmlns:a16="http://schemas.microsoft.com/office/drawing/2014/main" id="{0D7C957A-9D3E-418A-B1AC-52E0B471C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10</xdr:col>
      <xdr:colOff>97210</xdr:colOff>
      <xdr:row>0</xdr:row>
      <xdr:rowOff>66675</xdr:rowOff>
    </xdr:from>
    <xdr:to>
      <xdr:col>13</xdr:col>
      <xdr:colOff>0</xdr:colOff>
      <xdr:row>7</xdr:row>
      <xdr:rowOff>0</xdr:rowOff>
    </xdr:to>
    <xdr:sp macro="" textlink="">
      <xdr:nvSpPr>
        <xdr:cNvPr id="61" name="Rectangle: Rounded Corners 60">
          <a:extLst>
            <a:ext uri="{FF2B5EF4-FFF2-40B4-BE49-F238E27FC236}">
              <a16:creationId xmlns:a16="http://schemas.microsoft.com/office/drawing/2014/main" id="{7DC8F5DB-BD59-4D2C-BB3C-4CA6256D7199}"/>
            </a:ext>
          </a:extLst>
        </xdr:cNvPr>
        <xdr:cNvSpPr/>
      </xdr:nvSpPr>
      <xdr:spPr>
        <a:xfrm>
          <a:off x="6193210" y="66675"/>
          <a:ext cx="1731590" cy="1228725"/>
        </a:xfrm>
        <a:prstGeom prst="roundRect">
          <a:avLst>
            <a:gd name="adj" fmla="val 6783"/>
          </a:avLst>
        </a:prstGeom>
        <a:solidFill>
          <a:schemeClr val="accent1">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97210</xdr:colOff>
      <xdr:row>0</xdr:row>
      <xdr:rowOff>66675</xdr:rowOff>
    </xdr:from>
    <xdr:to>
      <xdr:col>13</xdr:col>
      <xdr:colOff>97210</xdr:colOff>
      <xdr:row>6</xdr:row>
      <xdr:rowOff>1359</xdr:rowOff>
    </xdr:to>
    <xdr:graphicFrame macro="">
      <xdr:nvGraphicFramePr>
        <xdr:cNvPr id="66" name="Chart 65">
          <a:extLst>
            <a:ext uri="{FF2B5EF4-FFF2-40B4-BE49-F238E27FC236}">
              <a16:creationId xmlns:a16="http://schemas.microsoft.com/office/drawing/2014/main" id="{EA8C7586-3161-47C2-ABF8-15FC8DCAB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266700</xdr:colOff>
      <xdr:row>6</xdr:row>
      <xdr:rowOff>16329</xdr:rowOff>
    </xdr:from>
    <xdr:to>
      <xdr:col>12</xdr:col>
      <xdr:colOff>457200</xdr:colOff>
      <xdr:row>7</xdr:row>
      <xdr:rowOff>16329</xdr:rowOff>
    </xdr:to>
    <xdr:sp macro="" textlink="">
      <xdr:nvSpPr>
        <xdr:cNvPr id="67" name="TextBox 29">
          <a:extLst>
            <a:ext uri="{FF2B5EF4-FFF2-40B4-BE49-F238E27FC236}">
              <a16:creationId xmlns:a16="http://schemas.microsoft.com/office/drawing/2014/main" id="{7633310E-C817-4AD8-9BF3-2433A2C0D426}"/>
            </a:ext>
          </a:extLst>
        </xdr:cNvPr>
        <xdr:cNvSpPr txBox="1"/>
      </xdr:nvSpPr>
      <xdr:spPr>
        <a:xfrm>
          <a:off x="6362700" y="1126672"/>
          <a:ext cx="1409700" cy="185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800" b="0">
              <a:solidFill>
                <a:schemeClr val="bg1"/>
              </a:solidFill>
              <a:latin typeface="Times New Roman" panose="02020603050405020304" pitchFamily="18" charset="0"/>
              <a:cs typeface="Times New Roman" panose="02020603050405020304" pitchFamily="18" charset="0"/>
            </a:rPr>
            <a:t>Gender Wise Analysis</a:t>
          </a:r>
          <a:endParaRPr lang="en-IN" sz="8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0</xdr:colOff>
      <xdr:row>7</xdr:row>
      <xdr:rowOff>0</xdr:rowOff>
    </xdr:from>
    <xdr:to>
      <xdr:col>13</xdr:col>
      <xdr:colOff>0</xdr:colOff>
      <xdr:row>14</xdr:row>
      <xdr:rowOff>185056</xdr:rowOff>
    </xdr:to>
    <xdr:graphicFrame macro="">
      <xdr:nvGraphicFramePr>
        <xdr:cNvPr id="70" name="Chart 69">
          <a:extLst>
            <a:ext uri="{FF2B5EF4-FFF2-40B4-BE49-F238E27FC236}">
              <a16:creationId xmlns:a16="http://schemas.microsoft.com/office/drawing/2014/main" id="{8E20CBF5-0DC3-4542-AB99-77284D988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8</xdr:col>
      <xdr:colOff>457200</xdr:colOff>
      <xdr:row>14</xdr:row>
      <xdr:rowOff>168729</xdr:rowOff>
    </xdr:from>
    <xdr:to>
      <xdr:col>11</xdr:col>
      <xdr:colOff>386443</xdr:colOff>
      <xdr:row>16</xdr:row>
      <xdr:rowOff>0</xdr:rowOff>
    </xdr:to>
    <xdr:sp macro="" textlink="">
      <xdr:nvSpPr>
        <xdr:cNvPr id="72" name="TextBox 71">
          <a:extLst>
            <a:ext uri="{FF2B5EF4-FFF2-40B4-BE49-F238E27FC236}">
              <a16:creationId xmlns:a16="http://schemas.microsoft.com/office/drawing/2014/main" id="{B4C0BF93-8183-4D3D-8CAD-E8235778C932}"/>
            </a:ext>
          </a:extLst>
        </xdr:cNvPr>
        <xdr:cNvSpPr txBox="1"/>
      </xdr:nvSpPr>
      <xdr:spPr>
        <a:xfrm>
          <a:off x="5334000" y="2759529"/>
          <a:ext cx="1758043"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0">
              <a:solidFill>
                <a:schemeClr val="bg1"/>
              </a:solidFill>
              <a:latin typeface="Times New Roman" panose="02020603050405020304" pitchFamily="18" charset="0"/>
              <a:cs typeface="Times New Roman" panose="02020603050405020304" pitchFamily="18" charset="0"/>
            </a:rPr>
            <a:t>No</a:t>
          </a:r>
          <a:r>
            <a:rPr lang="en-IN" sz="1050" b="0">
              <a:solidFill>
                <a:schemeClr val="bg1"/>
              </a:solidFill>
              <a:latin typeface="Times New Roman" panose="02020603050405020304" pitchFamily="18" charset="0"/>
              <a:cs typeface="Times New Roman" panose="02020603050405020304" pitchFamily="18" charset="0"/>
            </a:rPr>
            <a:t>. </a:t>
          </a:r>
          <a:r>
            <a:rPr lang="en-IN" sz="800" b="0">
              <a:solidFill>
                <a:schemeClr val="bg1"/>
              </a:solidFill>
              <a:latin typeface="Times New Roman" panose="02020603050405020304" pitchFamily="18" charset="0"/>
              <a:cs typeface="Times New Roman" panose="02020603050405020304" pitchFamily="18" charset="0"/>
            </a:rPr>
            <a:t>of</a:t>
          </a:r>
          <a:r>
            <a:rPr lang="en-IN" sz="1050" b="0">
              <a:solidFill>
                <a:schemeClr val="bg1"/>
              </a:solidFill>
              <a:latin typeface="Times New Roman" panose="02020603050405020304" pitchFamily="18" charset="0"/>
              <a:cs typeface="Times New Roman" panose="02020603050405020304" pitchFamily="18" charset="0"/>
            </a:rPr>
            <a:t> </a:t>
          </a:r>
          <a:r>
            <a:rPr lang="en-US" sz="800" b="0">
              <a:solidFill>
                <a:schemeClr val="bg1"/>
              </a:solidFill>
              <a:latin typeface="Times New Roman" panose="02020603050405020304" pitchFamily="18" charset="0"/>
              <a:cs typeface="Times New Roman" panose="02020603050405020304" pitchFamily="18" charset="0"/>
            </a:rPr>
            <a:t>Patients by Department</a:t>
          </a:r>
          <a:r>
            <a:rPr lang="en-US" sz="800" b="0" baseline="0">
              <a:solidFill>
                <a:schemeClr val="bg1"/>
              </a:solidFill>
              <a:latin typeface="Times New Roman" panose="02020603050405020304" pitchFamily="18" charset="0"/>
              <a:cs typeface="Times New Roman" panose="02020603050405020304" pitchFamily="18" charset="0"/>
            </a:rPr>
            <a:t> Referal</a:t>
          </a:r>
          <a:r>
            <a:rPr lang="en-US" sz="1050" b="0">
              <a:solidFill>
                <a:schemeClr val="bg1"/>
              </a:solidFill>
              <a:latin typeface="Times New Roman" panose="02020603050405020304" pitchFamily="18" charset="0"/>
              <a:cs typeface="Times New Roman" panose="02020603050405020304" pitchFamily="18" charset="0"/>
            </a:rPr>
            <a:t> </a:t>
          </a:r>
          <a:endParaRPr lang="en-IN" sz="105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125185</xdr:colOff>
      <xdr:row>0</xdr:row>
      <xdr:rowOff>157842</xdr:rowOff>
    </xdr:from>
    <xdr:to>
      <xdr:col>7</xdr:col>
      <xdr:colOff>32656</xdr:colOff>
      <xdr:row>2</xdr:row>
      <xdr:rowOff>136072</xdr:rowOff>
    </xdr:to>
    <mc:AlternateContent xmlns:mc="http://schemas.openxmlformats.org/markup-compatibility/2006">
      <mc:Choice xmlns:a14="http://schemas.microsoft.com/office/drawing/2010/main" Requires="a14">
        <xdr:graphicFrame macro="">
          <xdr:nvGraphicFramePr>
            <xdr:cNvPr id="73" name="Date (Year)">
              <a:extLst>
                <a:ext uri="{FF2B5EF4-FFF2-40B4-BE49-F238E27FC236}">
                  <a16:creationId xmlns:a16="http://schemas.microsoft.com/office/drawing/2014/main" id="{19B4190C-BED0-4BF6-9A6F-4E664695D6B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173185" y="157842"/>
              <a:ext cx="1126671" cy="348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0.11905</cdr:x>
      <cdr:y>0.8547</cdr:y>
    </cdr:from>
    <cdr:to>
      <cdr:x>0.88988</cdr:x>
      <cdr:y>1</cdr:y>
    </cdr:to>
    <cdr:sp macro="" textlink="">
      <cdr:nvSpPr>
        <cdr:cNvPr id="2" name="TextBox 29">
          <a:extLst xmlns:a="http://schemas.openxmlformats.org/drawingml/2006/main">
            <a:ext uri="{FF2B5EF4-FFF2-40B4-BE49-F238E27FC236}">
              <a16:creationId xmlns:a16="http://schemas.microsoft.com/office/drawing/2014/main" id="{432C5FCE-A4F9-4472-AC01-7530A21CF313}"/>
            </a:ext>
          </a:extLst>
        </cdr:cNvPr>
        <cdr:cNvSpPr txBox="1"/>
      </cdr:nvSpPr>
      <cdr:spPr>
        <a:xfrm xmlns:a="http://schemas.openxmlformats.org/drawingml/2006/main">
          <a:off x="217714" y="1088569"/>
          <a:ext cx="1409700" cy="18505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050" b="0">
              <a:solidFill>
                <a:schemeClr val="bg1"/>
              </a:solidFill>
              <a:latin typeface="Times New Roman" panose="02020603050405020304" pitchFamily="18" charset="0"/>
              <a:cs typeface="Times New Roman" panose="02020603050405020304" pitchFamily="18" charset="0"/>
            </a:rPr>
            <a:t> </a:t>
          </a:r>
          <a:r>
            <a:rPr lang="en-US" sz="800" b="0">
              <a:solidFill>
                <a:schemeClr val="bg1"/>
              </a:solidFill>
              <a:latin typeface="Times New Roman" panose="02020603050405020304" pitchFamily="18" charset="0"/>
              <a:cs typeface="Times New Roman" panose="02020603050405020304" pitchFamily="18" charset="0"/>
            </a:rPr>
            <a:t>Patients Attend Status</a:t>
          </a:r>
          <a:r>
            <a:rPr lang="en-US" sz="1050" b="0">
              <a:solidFill>
                <a:schemeClr val="bg1"/>
              </a:solidFill>
              <a:latin typeface="Times New Roman" panose="02020603050405020304" pitchFamily="18" charset="0"/>
              <a:cs typeface="Times New Roman" panose="02020603050405020304" pitchFamily="18" charset="0"/>
            </a:rPr>
            <a:t> </a:t>
          </a:r>
          <a:endParaRPr lang="en-IN" sz="1050" b="0">
            <a:solidFill>
              <a:schemeClr val="bg1"/>
            </a:solidFill>
            <a:latin typeface="Times New Roman" panose="02020603050405020304" pitchFamily="18" charset="0"/>
            <a:cs typeface="Times New Roman" panose="02020603050405020304" pitchFamily="18"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7620</xdr:rowOff>
    </xdr:from>
    <xdr:to>
      <xdr:col>15</xdr:col>
      <xdr:colOff>601980</xdr:colOff>
      <xdr:row>21</xdr:row>
      <xdr:rowOff>152400</xdr:rowOff>
    </xdr:to>
    <xdr:graphicFrame macro="">
      <xdr:nvGraphicFramePr>
        <xdr:cNvPr id="3" name="Chart 2">
          <a:extLst>
            <a:ext uri="{FF2B5EF4-FFF2-40B4-BE49-F238E27FC236}">
              <a16:creationId xmlns:a16="http://schemas.microsoft.com/office/drawing/2014/main" id="{3FF8ED04-A711-497D-8A15-A6DCE423A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xdr:colOff>
      <xdr:row>0</xdr:row>
      <xdr:rowOff>45720</xdr:rowOff>
    </xdr:from>
    <xdr:to>
      <xdr:col>1</xdr:col>
      <xdr:colOff>22860</xdr:colOff>
      <xdr:row>3</xdr:row>
      <xdr:rowOff>30480</xdr:rowOff>
    </xdr:to>
    <xdr:sp macro="" textlink="">
      <xdr:nvSpPr>
        <xdr:cNvPr id="5" name="Rectangle 4">
          <a:extLst>
            <a:ext uri="{FF2B5EF4-FFF2-40B4-BE49-F238E27FC236}">
              <a16:creationId xmlns:a16="http://schemas.microsoft.com/office/drawing/2014/main" id="{B1A45455-C06B-43B4-84B3-CAE36FD4ED29}"/>
            </a:ext>
          </a:extLst>
        </xdr:cNvPr>
        <xdr:cNvSpPr/>
      </xdr:nvSpPr>
      <xdr:spPr>
        <a:xfrm>
          <a:off x="53340" y="45720"/>
          <a:ext cx="579120" cy="5334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106679</xdr:colOff>
      <xdr:row>0</xdr:row>
      <xdr:rowOff>68579</xdr:rowOff>
    </xdr:from>
    <xdr:to>
      <xdr:col>0</xdr:col>
      <xdr:colOff>563880</xdr:colOff>
      <xdr:row>2</xdr:row>
      <xdr:rowOff>160020</xdr:rowOff>
    </xdr:to>
    <xdr:pic>
      <xdr:nvPicPr>
        <xdr:cNvPr id="6" name="Picture 5">
          <a:hlinkClick xmlns:r="http://schemas.openxmlformats.org/officeDocument/2006/relationships" r:id="rId2"/>
          <a:extLst>
            <a:ext uri="{FF2B5EF4-FFF2-40B4-BE49-F238E27FC236}">
              <a16:creationId xmlns:a16="http://schemas.microsoft.com/office/drawing/2014/main" id="{64D0C5D6-CA82-4EBE-8CFC-B7DFDA1B6E0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6679" y="68579"/>
          <a:ext cx="457201" cy="4572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7620</xdr:colOff>
      <xdr:row>20</xdr:row>
      <xdr:rowOff>45720</xdr:rowOff>
    </xdr:to>
    <xdr:graphicFrame macro="">
      <xdr:nvGraphicFramePr>
        <xdr:cNvPr id="3" name="Chart 2">
          <a:extLst>
            <a:ext uri="{FF2B5EF4-FFF2-40B4-BE49-F238E27FC236}">
              <a16:creationId xmlns:a16="http://schemas.microsoft.com/office/drawing/2014/main" id="{90F3122C-C04E-44AC-8435-AE4C342B7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xdr:col>
      <xdr:colOff>60960</xdr:colOff>
      <xdr:row>3</xdr:row>
      <xdr:rowOff>68580</xdr:rowOff>
    </xdr:to>
    <xdr:sp macro="" textlink="">
      <xdr:nvSpPr>
        <xdr:cNvPr id="8" name="Rectangle 7">
          <a:extLst>
            <a:ext uri="{FF2B5EF4-FFF2-40B4-BE49-F238E27FC236}">
              <a16:creationId xmlns:a16="http://schemas.microsoft.com/office/drawing/2014/main" id="{7425EEE7-AD92-4C14-8592-DC99CCD8CD86}"/>
            </a:ext>
          </a:extLst>
        </xdr:cNvPr>
        <xdr:cNvSpPr/>
      </xdr:nvSpPr>
      <xdr:spPr>
        <a:xfrm>
          <a:off x="0" y="0"/>
          <a:ext cx="670560" cy="6172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60960</xdr:colOff>
      <xdr:row>0</xdr:row>
      <xdr:rowOff>38100</xdr:rowOff>
    </xdr:from>
    <xdr:to>
      <xdr:col>0</xdr:col>
      <xdr:colOff>579120</xdr:colOff>
      <xdr:row>3</xdr:row>
      <xdr:rowOff>7620</xdr:rowOff>
    </xdr:to>
    <xdr:pic>
      <xdr:nvPicPr>
        <xdr:cNvPr id="9" name="Picture 8">
          <a:hlinkClick xmlns:r="http://schemas.openxmlformats.org/officeDocument/2006/relationships" r:id="rId2"/>
          <a:extLst>
            <a:ext uri="{FF2B5EF4-FFF2-40B4-BE49-F238E27FC236}">
              <a16:creationId xmlns:a16="http://schemas.microsoft.com/office/drawing/2014/main" id="{36A00F08-C2D7-4319-B105-3FD975DF15A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960" y="38100"/>
          <a:ext cx="518160" cy="5181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0</xdr:row>
      <xdr:rowOff>15240</xdr:rowOff>
    </xdr:from>
    <xdr:to>
      <xdr:col>16</xdr:col>
      <xdr:colOff>38100</xdr:colOff>
      <xdr:row>21</xdr:row>
      <xdr:rowOff>144780</xdr:rowOff>
    </xdr:to>
    <xdr:graphicFrame macro="">
      <xdr:nvGraphicFramePr>
        <xdr:cNvPr id="2" name="Chart 1">
          <a:extLst>
            <a:ext uri="{FF2B5EF4-FFF2-40B4-BE49-F238E27FC236}">
              <a16:creationId xmlns:a16="http://schemas.microsoft.com/office/drawing/2014/main" id="{2EE24906-A9F4-4AAD-ACE9-E89ADF6E3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0</xdr:row>
      <xdr:rowOff>15240</xdr:rowOff>
    </xdr:from>
    <xdr:to>
      <xdr:col>1</xdr:col>
      <xdr:colOff>76200</xdr:colOff>
      <xdr:row>3</xdr:row>
      <xdr:rowOff>83820</xdr:rowOff>
    </xdr:to>
    <xdr:sp macro="" textlink="">
      <xdr:nvSpPr>
        <xdr:cNvPr id="3" name="Rectangle 2">
          <a:extLst>
            <a:ext uri="{FF2B5EF4-FFF2-40B4-BE49-F238E27FC236}">
              <a16:creationId xmlns:a16="http://schemas.microsoft.com/office/drawing/2014/main" id="{02CA9570-267A-4ABF-BC05-6DE2C83D42A4}"/>
            </a:ext>
          </a:extLst>
        </xdr:cNvPr>
        <xdr:cNvSpPr/>
      </xdr:nvSpPr>
      <xdr:spPr>
        <a:xfrm>
          <a:off x="15240" y="15240"/>
          <a:ext cx="670560" cy="6172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76200</xdr:colOff>
      <xdr:row>0</xdr:row>
      <xdr:rowOff>53340</xdr:rowOff>
    </xdr:from>
    <xdr:to>
      <xdr:col>0</xdr:col>
      <xdr:colOff>594360</xdr:colOff>
      <xdr:row>3</xdr:row>
      <xdr:rowOff>22860</xdr:rowOff>
    </xdr:to>
    <xdr:pic>
      <xdr:nvPicPr>
        <xdr:cNvPr id="4" name="Picture 3">
          <a:hlinkClick xmlns:r="http://schemas.openxmlformats.org/officeDocument/2006/relationships" r:id="rId2"/>
          <a:extLst>
            <a:ext uri="{FF2B5EF4-FFF2-40B4-BE49-F238E27FC236}">
              <a16:creationId xmlns:a16="http://schemas.microsoft.com/office/drawing/2014/main" id="{71FA555C-4219-40BA-82A6-806AED76793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200" y="53340"/>
          <a:ext cx="518160" cy="5181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na Chatterjee" refreshedDate="46050.876371296297" createdVersion="5" refreshedVersion="7" minRefreshableVersion="3" recordCount="0" supportSubquery="1" supportAdvancedDrill="1" xr:uid="{C12BD126-B058-4785-89CE-49039CD58321}">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na Chatterjee" refreshedDate="46050.876371527775" createdVersion="5" refreshedVersion="7" minRefreshableVersion="3" recordCount="0" supportSubquery="1" supportAdvancedDrill="1" xr:uid="{87B7A931-249C-41D2-9EB8-F3B6A0E11C74}">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na Chatterjee" refreshedDate="46050.876371643521" createdVersion="5" refreshedVersion="7" minRefreshableVersion="3" recordCount="0" supportSubquery="1" supportAdvancedDrill="1" xr:uid="{B3DE6536-7A58-4602-BE94-F850854E61A5}">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na Chatterjee" refreshedDate="46050.876371874998" createdVersion="5" refreshedVersion="7" minRefreshableVersion="3" recordCount="0" supportSubquery="1" supportAdvancedDrill="1" xr:uid="{1494AADE-6D99-4E3C-A645-E0D3A7704DC9}">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na Chatterjee" refreshedDate="46050.87637233796" createdVersion="5" refreshedVersion="7" minRefreshableVersion="3" recordCount="0" supportSubquery="1" supportAdvancedDrill="1" xr:uid="{CB1A4381-3939-4794-A1DD-942E4DAE7A5C}">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na Chatterjee" refreshedDate="46050.876372916668" createdVersion="5" refreshedVersion="7" minRefreshableVersion="3" recordCount="0" supportSubquery="1" supportAdvancedDrill="1" xr:uid="{738C10EC-9262-4B2E-9807-92E5F995A8D4}">
  <cacheSource type="external" connectionId="3"/>
  <cacheFields count="4">
    <cacheField name="[Calenda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na Chatterjee" refreshedDate="46050.87637337963" createdVersion="5" refreshedVersion="7" minRefreshableVersion="3" recordCount="0" supportSubquery="1" supportAdvancedDrill="1" xr:uid="{B9C66933-57FA-48AB-B47D-7BF9C1ABFA57}">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na Chatterjee" refreshedDate="46050.876373726853" createdVersion="5" refreshedVersion="7" minRefreshableVersion="3" recordCount="0" supportSubquery="1" supportAdvancedDrill="1" xr:uid="{028951BE-BC63-48ED-9B86-486ADD37B747}">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na Chatterjee" refreshedDate="46050.876374189815" createdVersion="5" refreshedVersion="7" minRefreshableVersion="3" recordCount="0" supportSubquery="1" supportAdvancedDrill="1" xr:uid="{469388B9-DCF0-4DA7-9463-BA13F5BAC643}">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na Chatterjee" refreshedDate="46050.876374537038" createdVersion="5" refreshedVersion="7" minRefreshableVersion="3" recordCount="0" supportSubquery="1" supportAdvancedDrill="1" xr:uid="{AE6FF605-4982-4339-A7D6-A56DFCC9216A}">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na Chatterjee" refreshedDate="46050.876374884261" createdVersion="5" refreshedVersion="7" minRefreshableVersion="3" recordCount="0" supportSubquery="1" supportAdvancedDrill="1" xr:uid="{6993E881-FC4B-490B-874B-0027CA61E912}">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na Chatterjee" refreshedDate="46050.876375231484" createdVersion="5" refreshedVersion="7" minRefreshableVersion="3" recordCount="0" supportSubquery="1" supportAdvancedDrill="1" xr:uid="{12E0C19F-FAAA-4349-9DA5-773A1DAF726A}">
  <cacheSource type="external" connectionId="3"/>
  <cacheFields count="4">
    <cacheField name="[Calendar_Table].[Date (Month)].[Date (Month)]" caption="Date (Month)" numFmtId="0" hierarchy="1" level="1">
      <sharedItems containsNonDate="0" count="1">
        <s v="Aug"/>
      </sharedItems>
    </cacheField>
    <cacheField name="[Calenda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ar_Table].[Date (Quarter)].[Date (Quarter)]" caption="Date (Quarter)" numFmtId="0" hierarchy="4" level="1">
      <sharedItems containsNonDate="0" count="1">
        <s v="Qtr3"/>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na Chatterjee" refreshedDate="46050.866386111113" createdVersion="3" refreshedVersion="7" minRefreshableVersion="3" recordCount="0" supportSubquery="1" supportAdvancedDrill="1" xr:uid="{A2D36601-B2EB-4D13-BA8F-7F601E79BF8A}">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269440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7340F1-C2B8-4FC7-902D-842EE55DB553}" name="PivotTable12" cacheId="282" applyNumberFormats="0" applyBorderFormats="0" applyFontFormats="0" applyPatternFormats="0" applyAlignmentFormats="0" applyWidthHeightFormats="1" dataCaption="Values" tag="f6491b17-5cfa-41d0-8657-a2758ee442a6" updatedVersion="7" minRefreshableVersion="3" subtotalHiddenItems="1" itemPrintTitles="1" createdVersion="5" indent="0" outline="1" outlineData="1" multipleFieldFilters="0" chartFormat="37">
  <location ref="A87:A8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19">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301395-8CD8-4344-89E7-56DEF76C8741}" name="PivotTable6" cacheId="264" applyNumberFormats="0" applyBorderFormats="0" applyFontFormats="0" applyPatternFormats="0" applyAlignmentFormats="0" applyWidthHeightFormats="1" dataCaption="Values" tag="fd479d7d-f8c4-429c-93a7-1222e12f132d" updatedVersion="7" minRefreshableVersion="3" subtotalHiddenItems="1" itemPrintTitles="1" createdVersion="5" indent="0" outline="1" outlineData="1" multipleFieldFilters="0" chartFormat="14">
  <location ref="I4:J32"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120">
      <pivotArea collapsedLevelsAreSubtotals="1" fieldPosition="0">
        <references count="1">
          <reference field="0" count="0"/>
        </references>
      </pivotArea>
    </format>
  </formats>
  <chartFormats count="2">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5DA07D-E2FB-47E4-954A-D99F8189D577}" name="PivotTable7" cacheId="267" applyNumberFormats="0" applyBorderFormats="0" applyFontFormats="0" applyPatternFormats="0" applyAlignmentFormats="0" applyWidthHeightFormats="1" dataCaption="Values" tag="f6491b17-5cfa-41d0-8657-a2758ee442a6" updatedVersion="7" minRefreshableVersion="3" subtotalHiddenItems="1" itemPrintTitles="1" createdVersion="5" indent="0" outline="1" outlineData="1" multipleFieldFilters="0" chartFormat="5">
  <location ref="A37:C4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23">
      <pivotArea outline="0" collapsedLevelsAreSubtotals="1" fieldPosition="0"/>
    </format>
    <format dxfId="122">
      <pivotArea collapsedLevelsAreSubtotals="1" fieldPosition="0">
        <references count="1">
          <reference field="2" count="0"/>
        </references>
      </pivotArea>
    </format>
    <format dxfId="121">
      <pivotArea outline="0" fieldPosition="0">
        <references count="1">
          <reference field="4294967294" count="1">
            <x v="1"/>
          </reference>
        </references>
      </pivotArea>
    </format>
  </formats>
  <chartFormats count="4">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2" count="1" selected="0">
            <x v="0"/>
          </reference>
        </references>
      </pivotArea>
    </chartFormat>
    <chartFormat chart="4" format="18">
      <pivotArea type="data" outline="0" fieldPosition="0">
        <references count="2">
          <reference field="4294967294" count="1" selected="0">
            <x v="0"/>
          </reference>
          <reference field="2" count="1" selected="0">
            <x v="1"/>
          </reference>
        </references>
      </pivotArea>
    </chartFormat>
    <chartFormat chart="4" format="19"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10538B-C438-4538-8D65-096C1A1AD886}" name="PivotTable11" cacheId="279" applyNumberFormats="0" applyBorderFormats="0" applyFontFormats="0" applyPatternFormats="0" applyAlignmentFormats="0" applyWidthHeightFormats="1" dataCaption="Values" tag="f6491b17-5cfa-41d0-8657-a2758ee442a6" updatedVersion="7" minRefreshableVersion="3" subtotalHiddenItems="1" itemPrintTitles="1" createdVersion="5" indent="0" outline="1" outlineData="1" multipleFieldFilters="0" chartFormat="37">
  <location ref="A75:B8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2">
    <format dxfId="125">
      <pivotArea outline="0" collapsedLevelsAreSubtotals="1" fieldPosition="0"/>
    </format>
    <format dxfId="124">
      <pivotArea collapsedLevelsAreSubtotals="1" fieldPosition="0">
        <references count="1">
          <reference field="1" count="0"/>
        </references>
      </pivotArea>
    </format>
  </formats>
  <chartFormats count="4">
    <chartFormat chart="32"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32D9C3-4BD7-49AD-988C-5011968A438C}" name="PivotTable5" cacheId="261" applyNumberFormats="0" applyBorderFormats="0" applyFontFormats="0" applyPatternFormats="0" applyAlignmentFormats="0" applyWidthHeightFormats="1" dataCaption="Values" tag="584bc070-5299-46c0-9639-09f87249d935" updatedVersion="7" minRefreshableVersion="3" subtotalHiddenItems="1" itemPrintTitles="1" createdVersion="5" indent="0" outline="1" outlineData="1" multipleFieldFilters="0" chartFormat="122">
  <location ref="F4:G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26">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6B7876-762F-41C3-AE0A-C1D3962F28DC}" name="PivotTable4" cacheId="249" applyNumberFormats="0" applyBorderFormats="0" applyFontFormats="0" applyPatternFormats="0" applyAlignmentFormats="0" applyWidthHeightFormats="1" dataCaption="Values" tag="42215ad1-a9d8-41b4-ba93-ab82a29ffba9" updatedVersion="7" minRefreshableVersion="3" subtotalHiddenItems="1" itemPrintTitles="1" createdVersion="5" indent="0" outline="1" outlineData="1" multipleFieldFilters="0" chartFormat="10">
  <location ref="C4:D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n="  "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6">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971C7B-1237-4A1A-AC9F-23002E9A0DDD}" name="PivotTable3" cacheId="258" applyNumberFormats="0" applyBorderFormats="0" applyFontFormats="0" applyPatternFormats="0" applyAlignmentFormats="0" applyWidthHeightFormats="1" dataCaption="Values" tag="f6491b17-5cfa-41d0-8657-a2758ee442a6" updatedVersion="7"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7">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057361-7241-429D-9F68-055AAC2415CD}" name="PivotTable10" cacheId="276" applyNumberFormats="0" applyBorderFormats="0" applyFontFormats="0" applyPatternFormats="0" applyAlignmentFormats="0" applyWidthHeightFormats="1" dataCaption="Values" tag="f6491b17-5cfa-41d0-8657-a2758ee442a6" updatedVersion="7" minRefreshableVersion="3" subtotalHiddenItems="1" itemPrintTitles="1" createdVersion="5" indent="0" outline="1" outlineData="1" multipleFieldFilters="0" chartFormat="32">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29">
      <pivotArea outline="0" collapsedLevelsAreSubtotals="1" fieldPosition="0"/>
    </format>
    <format dxfId="128">
      <pivotArea collapsedLevelsAreSubtotals="1" fieldPosition="0">
        <references count="1">
          <reference field="1" count="0"/>
        </references>
      </pivotArea>
    </format>
  </formats>
  <chartFormats count="3">
    <chartFormat chart="31" format="10" series="1">
      <pivotArea type="data" outline="0" fieldPosition="0">
        <references count="1">
          <reference field="4294967294" count="1" selected="0">
            <x v="0"/>
          </reference>
        </references>
      </pivotArea>
    </chartFormat>
    <chartFormat chart="31" format="11">
      <pivotArea type="data" outline="0" fieldPosition="0">
        <references count="2">
          <reference field="4294967294" count="1" selected="0">
            <x v="0"/>
          </reference>
          <reference field="1" count="1" selected="0">
            <x v="0"/>
          </reference>
        </references>
      </pivotArea>
    </chartFormat>
    <chartFormat chart="31" format="1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C2A06A-DC18-4363-8281-F6FFF6005434}" name="PivotTable2" cacheId="255" applyNumberFormats="0" applyBorderFormats="0" applyFontFormats="0" applyPatternFormats="0" applyAlignmentFormats="0" applyWidthHeightFormats="1" dataCaption="Values" tag="dd5b66f7-5617-4695-9e59-2532df224d8a"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0">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6EA1BA-C0F8-4343-9408-A486AEA34D08}" name="PivotTable9" cacheId="273" applyNumberFormats="0" applyBorderFormats="0" applyFontFormats="0" applyPatternFormats="0" applyAlignmentFormats="0" applyWidthHeightFormats="1" dataCaption="Values" tag="f6491b17-5cfa-41d0-8657-a2758ee442a6" updatedVersion="7" minRefreshableVersion="3" subtotalHiddenItems="1" itemPrintTitles="1" createdVersion="5" indent="0" outline="1" outlineData="1" multipleFieldFilters="0" chartFormat="24">
  <location ref="A63: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32">
      <pivotArea outline="0" collapsedLevelsAreSubtotals="1" fieldPosition="0"/>
    </format>
    <format dxfId="131">
      <pivotArea collapsedLevelsAreSubtotals="1" fieldPosition="0">
        <references count="1">
          <reference field="1" count="0"/>
        </references>
      </pivotArea>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E6B2DC-C8EF-474E-842F-A0581F9CE587}" name="PivotTable1" cacheId="252" applyNumberFormats="0" applyBorderFormats="0" applyFontFormats="0" applyPatternFormats="0" applyAlignmentFormats="0" applyWidthHeightFormats="1" dataCaption="Values" tag="2c2ba13e-9c44-49a1-a027-d33e75486270"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CCE615-9F8A-4AE2-8FB6-3E1DA3CDE673}" name="PivotTable8" cacheId="270" applyNumberFormats="0" applyBorderFormats="0" applyFontFormats="0" applyPatternFormats="0" applyAlignmentFormats="0" applyWidthHeightFormats="1" dataCaption="Values" tag="f6491b17-5cfa-41d0-8657-a2758ee442a6" updatedVersion="7" minRefreshableVersion="3" subtotalHiddenItems="1" itemPrintTitles="1" createdVersion="5" indent="0" outline="1" outlineData="1" multipleFieldFilters="0" chartFormat="8">
  <location ref="A51: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34">
      <pivotArea outline="0" collapsedLevelsAreSubtotals="1" fieldPosition="0"/>
    </format>
    <format dxfId="133">
      <pivotArea collapsedLevelsAreSubtotals="1" fieldPosition="0">
        <references count="1">
          <reference field="1"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58FFB1C-2CE0-4805-890D-567BC6A5A242}"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32694408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32F6616-8498-4890-901C-B050611C5608}"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32694408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60DD902-97CC-4280-BF4A-5660BF1DDD81}" cache="Slicer_Date__Month" caption="Date (Month)" showCaption="0" level="1" style="last" rowHeight="144000"/>
  <slicer name="Date (Year)" xr10:uid="{ED2B887B-B6BC-44BE-9F84-0D881A26BE14}" cache="Slicer_Date__Year" caption="Date (Year)" columnCount="2" showCaption="0" level="1" style="las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D6C8-B2FB-4843-AA01-FA96293C6302}">
  <dimension ref="A3:J89"/>
  <sheetViews>
    <sheetView topLeftCell="A4" zoomScale="130" zoomScaleNormal="130" workbookViewId="0">
      <selection activeCell="C5" sqref="C5:C34"/>
    </sheetView>
  </sheetViews>
  <sheetFormatPr defaultRowHeight="14.4" x14ac:dyDescent="0.3"/>
  <cols>
    <col min="1" max="1" width="15.109375" customWidth="1"/>
    <col min="2" max="2" width="14.21875" customWidth="1"/>
    <col min="3" max="3" width="12" customWidth="1"/>
    <col min="4" max="4" width="7.33203125" customWidth="1"/>
    <col min="5" max="5" width="16.44140625" customWidth="1"/>
    <col min="6" max="6" width="14.88671875" bestFit="1" customWidth="1"/>
    <col min="7" max="7" width="24.44140625" bestFit="1" customWidth="1"/>
    <col min="9" max="9" width="12.5546875" bestFit="1" customWidth="1"/>
    <col min="10" max="10" width="24.44140625" bestFit="1" customWidth="1"/>
  </cols>
  <sheetData>
    <row r="3" spans="1:10" x14ac:dyDescent="0.3">
      <c r="A3" t="s">
        <v>1</v>
      </c>
      <c r="C3" t="s">
        <v>6</v>
      </c>
      <c r="F3" t="s">
        <v>38</v>
      </c>
      <c r="I3" t="s">
        <v>40</v>
      </c>
    </row>
    <row r="4" spans="1:10" x14ac:dyDescent="0.3">
      <c r="A4" t="s">
        <v>0</v>
      </c>
      <c r="C4" s="2" t="s">
        <v>4</v>
      </c>
      <c r="D4" t="s">
        <v>0</v>
      </c>
      <c r="F4" s="2" t="s">
        <v>4</v>
      </c>
      <c r="G4" t="s">
        <v>2</v>
      </c>
      <c r="I4" s="2" t="s">
        <v>4</v>
      </c>
      <c r="J4" t="s">
        <v>3</v>
      </c>
    </row>
    <row r="5" spans="1:10" x14ac:dyDescent="0.3">
      <c r="A5" s="1">
        <v>469</v>
      </c>
      <c r="C5" s="4" t="s">
        <v>7</v>
      </c>
      <c r="D5" s="1">
        <v>12</v>
      </c>
      <c r="F5" s="4" t="s">
        <v>7</v>
      </c>
      <c r="G5" s="3">
        <v>31.833333333333332</v>
      </c>
      <c r="I5" s="4" t="s">
        <v>8</v>
      </c>
      <c r="J5" s="3">
        <v>4.5999999999999996</v>
      </c>
    </row>
    <row r="6" spans="1:10" x14ac:dyDescent="0.3">
      <c r="C6" s="4" t="s">
        <v>8</v>
      </c>
      <c r="D6" s="1">
        <v>19</v>
      </c>
      <c r="F6" s="4" t="s">
        <v>8</v>
      </c>
      <c r="G6" s="3">
        <v>39.368421052631582</v>
      </c>
      <c r="I6" s="4" t="s">
        <v>9</v>
      </c>
      <c r="J6" s="3">
        <v>4.5999999999999996</v>
      </c>
    </row>
    <row r="7" spans="1:10" x14ac:dyDescent="0.3">
      <c r="C7" s="4" t="s">
        <v>9</v>
      </c>
      <c r="D7" s="1">
        <v>17</v>
      </c>
      <c r="F7" s="4" t="s">
        <v>9</v>
      </c>
      <c r="G7" s="3">
        <v>32.352941176470587</v>
      </c>
      <c r="I7" s="4" t="s">
        <v>10</v>
      </c>
      <c r="J7" s="3">
        <v>5.666666666666667</v>
      </c>
    </row>
    <row r="8" spans="1:10" x14ac:dyDescent="0.3">
      <c r="A8" t="s">
        <v>2</v>
      </c>
      <c r="C8" s="4" t="s">
        <v>10</v>
      </c>
      <c r="D8" s="1">
        <v>20</v>
      </c>
      <c r="F8" s="4" t="s">
        <v>10</v>
      </c>
      <c r="G8" s="3">
        <v>34.049999999999997</v>
      </c>
      <c r="I8" s="4" t="s">
        <v>11</v>
      </c>
      <c r="J8" s="3">
        <v>3.4</v>
      </c>
    </row>
    <row r="9" spans="1:10" x14ac:dyDescent="0.3">
      <c r="A9" s="3">
        <v>35.044776119402982</v>
      </c>
      <c r="C9" s="4" t="s">
        <v>11</v>
      </c>
      <c r="D9" s="1">
        <v>15</v>
      </c>
      <c r="F9" s="4" t="s">
        <v>11</v>
      </c>
      <c r="G9" s="3">
        <v>31.8</v>
      </c>
      <c r="I9" s="4" t="s">
        <v>12</v>
      </c>
      <c r="J9" s="3">
        <v>4.333333333333333</v>
      </c>
    </row>
    <row r="10" spans="1:10" x14ac:dyDescent="0.3">
      <c r="C10" s="4" t="s">
        <v>12</v>
      </c>
      <c r="D10" s="1">
        <v>17</v>
      </c>
      <c r="F10" s="4" t="s">
        <v>12</v>
      </c>
      <c r="G10" s="3">
        <v>37.823529411764703</v>
      </c>
      <c r="I10" s="4" t="s">
        <v>13</v>
      </c>
      <c r="J10" s="3">
        <v>4.4000000000000004</v>
      </c>
    </row>
    <row r="11" spans="1:10" x14ac:dyDescent="0.3">
      <c r="A11" t="s">
        <v>3</v>
      </c>
      <c r="C11" s="4" t="s">
        <v>13</v>
      </c>
      <c r="D11" s="1">
        <v>16</v>
      </c>
      <c r="F11" s="4" t="s">
        <v>13</v>
      </c>
      <c r="G11" s="3">
        <v>31.875</v>
      </c>
      <c r="I11" s="4" t="s">
        <v>14</v>
      </c>
      <c r="J11" s="3">
        <v>4.25</v>
      </c>
    </row>
    <row r="12" spans="1:10" x14ac:dyDescent="0.3">
      <c r="A12" s="3">
        <v>4.6269841269841274</v>
      </c>
      <c r="C12" s="4" t="s">
        <v>14</v>
      </c>
      <c r="D12" s="1">
        <v>10</v>
      </c>
      <c r="F12" s="4" t="s">
        <v>14</v>
      </c>
      <c r="G12" s="3">
        <v>27.3</v>
      </c>
      <c r="I12" s="4" t="s">
        <v>15</v>
      </c>
      <c r="J12" s="3">
        <v>4.5999999999999996</v>
      </c>
    </row>
    <row r="13" spans="1:10" x14ac:dyDescent="0.3">
      <c r="C13" s="4" t="s">
        <v>15</v>
      </c>
      <c r="D13" s="1">
        <v>15</v>
      </c>
      <c r="F13" s="4" t="s">
        <v>15</v>
      </c>
      <c r="G13" s="3">
        <v>31.933333333333334</v>
      </c>
      <c r="I13" s="4" t="s">
        <v>17</v>
      </c>
      <c r="J13" s="3">
        <v>2.3333333333333335</v>
      </c>
    </row>
    <row r="14" spans="1:10" x14ac:dyDescent="0.3">
      <c r="C14" s="4" t="s">
        <v>16</v>
      </c>
      <c r="D14" s="1">
        <v>14</v>
      </c>
      <c r="F14" s="4" t="s">
        <v>16</v>
      </c>
      <c r="G14" s="3">
        <v>30.5</v>
      </c>
      <c r="I14" s="4" t="s">
        <v>18</v>
      </c>
      <c r="J14" s="3">
        <v>9</v>
      </c>
    </row>
    <row r="15" spans="1:10" x14ac:dyDescent="0.3">
      <c r="C15" s="4" t="s">
        <v>17</v>
      </c>
      <c r="D15" s="1">
        <v>16</v>
      </c>
      <c r="F15" s="4" t="s">
        <v>17</v>
      </c>
      <c r="G15" s="3">
        <v>38.0625</v>
      </c>
      <c r="I15" s="4" t="s">
        <v>19</v>
      </c>
      <c r="J15" s="3">
        <v>2.75</v>
      </c>
    </row>
    <row r="16" spans="1:10" x14ac:dyDescent="0.3">
      <c r="C16" s="4" t="s">
        <v>18</v>
      </c>
      <c r="D16" s="1">
        <v>12</v>
      </c>
      <c r="F16" s="4" t="s">
        <v>18</v>
      </c>
      <c r="G16" s="3">
        <v>36.333333333333336</v>
      </c>
      <c r="I16" s="4" t="s">
        <v>20</v>
      </c>
      <c r="J16" s="3">
        <v>6.8888888888888893</v>
      </c>
    </row>
    <row r="17" spans="3:10" x14ac:dyDescent="0.3">
      <c r="C17" s="4" t="s">
        <v>19</v>
      </c>
      <c r="D17" s="1">
        <v>12</v>
      </c>
      <c r="F17" s="4" t="s">
        <v>19</v>
      </c>
      <c r="G17" s="3">
        <v>27</v>
      </c>
      <c r="I17" s="4" t="s">
        <v>21</v>
      </c>
      <c r="J17" s="3">
        <v>5</v>
      </c>
    </row>
    <row r="18" spans="3:10" x14ac:dyDescent="0.3">
      <c r="C18" s="4" t="s">
        <v>20</v>
      </c>
      <c r="D18" s="1">
        <v>13</v>
      </c>
      <c r="F18" s="4" t="s">
        <v>20</v>
      </c>
      <c r="G18" s="3">
        <v>37.46153846153846</v>
      </c>
      <c r="I18" s="4" t="s">
        <v>22</v>
      </c>
      <c r="J18" s="3">
        <v>4.166666666666667</v>
      </c>
    </row>
    <row r="19" spans="3:10" x14ac:dyDescent="0.3">
      <c r="C19" s="4" t="s">
        <v>21</v>
      </c>
      <c r="D19" s="1">
        <v>20</v>
      </c>
      <c r="F19" s="4" t="s">
        <v>21</v>
      </c>
      <c r="G19" s="3">
        <v>39.25</v>
      </c>
      <c r="I19" s="4" t="s">
        <v>23</v>
      </c>
      <c r="J19" s="3">
        <v>2.5</v>
      </c>
    </row>
    <row r="20" spans="3:10" x14ac:dyDescent="0.3">
      <c r="C20" s="4" t="s">
        <v>22</v>
      </c>
      <c r="D20" s="1">
        <v>17</v>
      </c>
      <c r="F20" s="4" t="s">
        <v>22</v>
      </c>
      <c r="G20" s="3">
        <v>33.647058823529413</v>
      </c>
      <c r="I20" s="4" t="s">
        <v>24</v>
      </c>
      <c r="J20" s="3">
        <v>6</v>
      </c>
    </row>
    <row r="21" spans="3:10" x14ac:dyDescent="0.3">
      <c r="C21" s="4" t="s">
        <v>23</v>
      </c>
      <c r="D21" s="1">
        <v>10</v>
      </c>
      <c r="F21" s="4" t="s">
        <v>23</v>
      </c>
      <c r="G21" s="3">
        <v>42.2</v>
      </c>
      <c r="I21" s="4" t="s">
        <v>25</v>
      </c>
      <c r="J21" s="3">
        <v>3.8</v>
      </c>
    </row>
    <row r="22" spans="3:10" x14ac:dyDescent="0.3">
      <c r="C22" s="4" t="s">
        <v>24</v>
      </c>
      <c r="D22" s="1">
        <v>16</v>
      </c>
      <c r="F22" s="4" t="s">
        <v>24</v>
      </c>
      <c r="G22" s="3">
        <v>33.3125</v>
      </c>
      <c r="I22" s="4" t="s">
        <v>26</v>
      </c>
      <c r="J22" s="3">
        <v>3.6</v>
      </c>
    </row>
    <row r="23" spans="3:10" x14ac:dyDescent="0.3">
      <c r="C23" s="4" t="s">
        <v>25</v>
      </c>
      <c r="D23" s="1">
        <v>13</v>
      </c>
      <c r="F23" s="4" t="s">
        <v>25</v>
      </c>
      <c r="G23" s="3">
        <v>25.76923076923077</v>
      </c>
      <c r="I23" s="4" t="s">
        <v>28</v>
      </c>
      <c r="J23" s="3">
        <v>5.8571428571428568</v>
      </c>
    </row>
    <row r="24" spans="3:10" x14ac:dyDescent="0.3">
      <c r="C24" s="4" t="s">
        <v>26</v>
      </c>
      <c r="D24" s="1">
        <v>16</v>
      </c>
      <c r="F24" s="4" t="s">
        <v>26</v>
      </c>
      <c r="G24" s="3">
        <v>37.125</v>
      </c>
      <c r="I24" s="4" t="s">
        <v>29</v>
      </c>
      <c r="J24" s="3">
        <v>6.25</v>
      </c>
    </row>
    <row r="25" spans="3:10" x14ac:dyDescent="0.3">
      <c r="C25" s="4" t="s">
        <v>27</v>
      </c>
      <c r="D25" s="1">
        <v>18</v>
      </c>
      <c r="F25" s="4" t="s">
        <v>27</v>
      </c>
      <c r="G25" s="3">
        <v>37</v>
      </c>
      <c r="I25" s="4" t="s">
        <v>30</v>
      </c>
      <c r="J25" s="3">
        <v>4.666666666666667</v>
      </c>
    </row>
    <row r="26" spans="3:10" x14ac:dyDescent="0.3">
      <c r="C26" s="4" t="s">
        <v>28</v>
      </c>
      <c r="D26" s="1">
        <v>21</v>
      </c>
      <c r="F26" s="4" t="s">
        <v>28</v>
      </c>
      <c r="G26" s="3">
        <v>36.80952380952381</v>
      </c>
      <c r="I26" s="4" t="s">
        <v>31</v>
      </c>
      <c r="J26" s="3">
        <v>0</v>
      </c>
    </row>
    <row r="27" spans="3:10" x14ac:dyDescent="0.3">
      <c r="C27" s="4" t="s">
        <v>29</v>
      </c>
      <c r="D27" s="1">
        <v>15</v>
      </c>
      <c r="F27" s="4" t="s">
        <v>29</v>
      </c>
      <c r="G27" s="3">
        <v>39.799999999999997</v>
      </c>
      <c r="I27" s="4" t="s">
        <v>32</v>
      </c>
      <c r="J27" s="3">
        <v>4.666666666666667</v>
      </c>
    </row>
    <row r="28" spans="3:10" x14ac:dyDescent="0.3">
      <c r="C28" s="4" t="s">
        <v>30</v>
      </c>
      <c r="D28" s="1">
        <v>18</v>
      </c>
      <c r="F28" s="4" t="s">
        <v>30</v>
      </c>
      <c r="G28" s="3">
        <v>38</v>
      </c>
      <c r="I28" s="4" t="s">
        <v>33</v>
      </c>
      <c r="J28" s="3">
        <v>2.8</v>
      </c>
    </row>
    <row r="29" spans="3:10" x14ac:dyDescent="0.3">
      <c r="C29" s="4" t="s">
        <v>49</v>
      </c>
      <c r="D29" s="1">
        <v>15</v>
      </c>
      <c r="F29" s="4" t="s">
        <v>31</v>
      </c>
      <c r="G29" s="3">
        <v>36.133333333333333</v>
      </c>
      <c r="I29" s="4" t="s">
        <v>34</v>
      </c>
      <c r="J29" s="3">
        <v>4.2</v>
      </c>
    </row>
    <row r="30" spans="3:10" x14ac:dyDescent="0.3">
      <c r="C30" s="4" t="s">
        <v>32</v>
      </c>
      <c r="D30" s="1">
        <v>18</v>
      </c>
      <c r="F30" s="4" t="s">
        <v>32</v>
      </c>
      <c r="G30" s="3">
        <v>36.555555555555557</v>
      </c>
      <c r="I30" s="4" t="s">
        <v>35</v>
      </c>
      <c r="J30" s="3">
        <v>2.5</v>
      </c>
    </row>
    <row r="31" spans="3:10" x14ac:dyDescent="0.3">
      <c r="C31" s="4" t="s">
        <v>33</v>
      </c>
      <c r="D31" s="1">
        <v>19</v>
      </c>
      <c r="F31" s="4" t="s">
        <v>33</v>
      </c>
      <c r="G31" s="3">
        <v>39.210526315789473</v>
      </c>
      <c r="I31" s="4" t="s">
        <v>36</v>
      </c>
      <c r="J31" s="3">
        <v>5</v>
      </c>
    </row>
    <row r="32" spans="3:10" x14ac:dyDescent="0.3">
      <c r="C32" s="4" t="s">
        <v>34</v>
      </c>
      <c r="D32" s="1">
        <v>16</v>
      </c>
      <c r="F32" s="4" t="s">
        <v>34</v>
      </c>
      <c r="G32" s="3">
        <v>31.1875</v>
      </c>
      <c r="I32" s="4" t="s">
        <v>5</v>
      </c>
      <c r="J32" s="1">
        <v>4.6269841269841274</v>
      </c>
    </row>
    <row r="33" spans="1:7" x14ac:dyDescent="0.3">
      <c r="C33" s="4" t="s">
        <v>35</v>
      </c>
      <c r="D33" s="1">
        <v>13</v>
      </c>
      <c r="F33" s="4" t="s">
        <v>35</v>
      </c>
      <c r="G33" s="3">
        <v>35.153846153846153</v>
      </c>
    </row>
    <row r="34" spans="1:7" x14ac:dyDescent="0.3">
      <c r="C34" s="4" t="s">
        <v>36</v>
      </c>
      <c r="D34" s="1">
        <v>16</v>
      </c>
      <c r="F34" s="4" t="s">
        <v>36</v>
      </c>
      <c r="G34" s="3">
        <v>34.25</v>
      </c>
    </row>
    <row r="35" spans="1:7" x14ac:dyDescent="0.3">
      <c r="C35" s="4" t="s">
        <v>5</v>
      </c>
      <c r="D35" s="1">
        <v>469</v>
      </c>
      <c r="F35" s="4" t="s">
        <v>5</v>
      </c>
      <c r="G35" s="3">
        <v>35.044776119402982</v>
      </c>
    </row>
    <row r="37" spans="1:7" x14ac:dyDescent="0.3">
      <c r="A37" s="2" t="s">
        <v>4</v>
      </c>
      <c r="B37" t="s">
        <v>42</v>
      </c>
      <c r="C37" t="s">
        <v>45</v>
      </c>
    </row>
    <row r="38" spans="1:7" x14ac:dyDescent="0.3">
      <c r="A38" s="4" t="s">
        <v>43</v>
      </c>
      <c r="B38" s="9">
        <v>217</v>
      </c>
      <c r="C38" s="10">
        <v>0.46268656716417911</v>
      </c>
    </row>
    <row r="39" spans="1:7" x14ac:dyDescent="0.3">
      <c r="A39" s="4" t="s">
        <v>44</v>
      </c>
      <c r="B39" s="9">
        <v>252</v>
      </c>
      <c r="C39" s="10">
        <v>0.53731343283582089</v>
      </c>
    </row>
    <row r="40" spans="1:7" x14ac:dyDescent="0.3">
      <c r="A40" s="4" t="s">
        <v>5</v>
      </c>
      <c r="B40" s="3">
        <v>469</v>
      </c>
      <c r="C40" s="10">
        <v>1</v>
      </c>
    </row>
    <row r="42" spans="1:7" ht="17.399999999999999" customHeight="1" x14ac:dyDescent="0.3"/>
    <row r="43" spans="1:7" x14ac:dyDescent="0.3">
      <c r="B43" s="14" t="s">
        <v>46</v>
      </c>
      <c r="C43" s="15" t="s">
        <v>47</v>
      </c>
      <c r="D43" s="15" t="s">
        <v>48</v>
      </c>
      <c r="E43" s="16"/>
    </row>
    <row r="44" spans="1:7" x14ac:dyDescent="0.3">
      <c r="B44" s="11" t="str">
        <f>A39</f>
        <v>Not Admitted</v>
      </c>
      <c r="C44" s="11">
        <f>B39</f>
        <v>252</v>
      </c>
      <c r="D44" s="12">
        <f>C39</f>
        <v>0.53731343283582089</v>
      </c>
      <c r="E44" s="13"/>
    </row>
    <row r="45" spans="1:7" x14ac:dyDescent="0.3">
      <c r="B45" s="11" t="str">
        <f>A38</f>
        <v>Admitted</v>
      </c>
      <c r="C45" s="11">
        <f>B38</f>
        <v>217</v>
      </c>
      <c r="D45" s="12">
        <f>C38</f>
        <v>0.46268656716417911</v>
      </c>
      <c r="E45" s="13"/>
    </row>
    <row r="51" spans="1:2" x14ac:dyDescent="0.3">
      <c r="A51" s="2" t="s">
        <v>4</v>
      </c>
      <c r="B51" t="s">
        <v>58</v>
      </c>
    </row>
    <row r="52" spans="1:2" x14ac:dyDescent="0.3">
      <c r="A52" s="4" t="s">
        <v>50</v>
      </c>
      <c r="B52" s="9">
        <v>59</v>
      </c>
    </row>
    <row r="53" spans="1:2" x14ac:dyDescent="0.3">
      <c r="A53" s="4" t="s">
        <v>51</v>
      </c>
      <c r="B53" s="9">
        <v>57</v>
      </c>
    </row>
    <row r="54" spans="1:2" x14ac:dyDescent="0.3">
      <c r="A54" s="4" t="s">
        <v>52</v>
      </c>
      <c r="B54" s="9">
        <v>69</v>
      </c>
    </row>
    <row r="55" spans="1:2" x14ac:dyDescent="0.3">
      <c r="A55" s="4" t="s">
        <v>53</v>
      </c>
      <c r="B55" s="9">
        <v>62</v>
      </c>
    </row>
    <row r="56" spans="1:2" x14ac:dyDescent="0.3">
      <c r="A56" s="4" t="s">
        <v>54</v>
      </c>
      <c r="B56" s="9">
        <v>54</v>
      </c>
    </row>
    <row r="57" spans="1:2" x14ac:dyDescent="0.3">
      <c r="A57" s="4" t="s">
        <v>55</v>
      </c>
      <c r="B57" s="9">
        <v>57</v>
      </c>
    </row>
    <row r="58" spans="1:2" x14ac:dyDescent="0.3">
      <c r="A58" s="4" t="s">
        <v>56</v>
      </c>
      <c r="B58" s="9">
        <v>54</v>
      </c>
    </row>
    <row r="59" spans="1:2" x14ac:dyDescent="0.3">
      <c r="A59" s="4" t="s">
        <v>57</v>
      </c>
      <c r="B59" s="9">
        <v>57</v>
      </c>
    </row>
    <row r="60" spans="1:2" x14ac:dyDescent="0.3">
      <c r="A60" s="4" t="s">
        <v>5</v>
      </c>
      <c r="B60" s="3">
        <v>469</v>
      </c>
    </row>
    <row r="63" spans="1:2" x14ac:dyDescent="0.3">
      <c r="A63" s="2" t="s">
        <v>4</v>
      </c>
      <c r="B63" t="s">
        <v>61</v>
      </c>
    </row>
    <row r="64" spans="1:2" x14ac:dyDescent="0.3">
      <c r="A64" s="4" t="s">
        <v>59</v>
      </c>
      <c r="B64" s="9">
        <v>268</v>
      </c>
    </row>
    <row r="65" spans="1:2" x14ac:dyDescent="0.3">
      <c r="A65" s="4" t="s">
        <v>60</v>
      </c>
      <c r="B65" s="9">
        <v>201</v>
      </c>
    </row>
    <row r="66" spans="1:2" x14ac:dyDescent="0.3">
      <c r="A66" s="4" t="s">
        <v>5</v>
      </c>
      <c r="B66" s="3">
        <v>469</v>
      </c>
    </row>
    <row r="69" spans="1:2" x14ac:dyDescent="0.3">
      <c r="A69" s="2" t="s">
        <v>4</v>
      </c>
      <c r="B69" t="s">
        <v>64</v>
      </c>
    </row>
    <row r="70" spans="1:2" x14ac:dyDescent="0.3">
      <c r="A70" s="4" t="s">
        <v>62</v>
      </c>
      <c r="B70" s="9">
        <v>241</v>
      </c>
    </row>
    <row r="71" spans="1:2" x14ac:dyDescent="0.3">
      <c r="A71" s="4" t="s">
        <v>63</v>
      </c>
      <c r="B71" s="9">
        <v>228</v>
      </c>
    </row>
    <row r="72" spans="1:2" x14ac:dyDescent="0.3">
      <c r="A72" s="4" t="s">
        <v>5</v>
      </c>
      <c r="B72" s="3">
        <v>469</v>
      </c>
    </row>
    <row r="75" spans="1:2" x14ac:dyDescent="0.3">
      <c r="A75" s="2" t="s">
        <v>4</v>
      </c>
      <c r="B75" t="s">
        <v>73</v>
      </c>
    </row>
    <row r="76" spans="1:2" x14ac:dyDescent="0.3">
      <c r="A76" s="4" t="s">
        <v>72</v>
      </c>
      <c r="B76" s="9">
        <v>3</v>
      </c>
    </row>
    <row r="77" spans="1:2" x14ac:dyDescent="0.3">
      <c r="A77" s="4" t="s">
        <v>66</v>
      </c>
      <c r="B77" s="9">
        <v>8</v>
      </c>
    </row>
    <row r="78" spans="1:2" x14ac:dyDescent="0.3">
      <c r="A78" s="4" t="s">
        <v>68</v>
      </c>
      <c r="B78" s="9">
        <v>10</v>
      </c>
    </row>
    <row r="79" spans="1:2" x14ac:dyDescent="0.3">
      <c r="A79" s="4" t="s">
        <v>65</v>
      </c>
      <c r="B79" s="9">
        <v>13</v>
      </c>
    </row>
    <row r="80" spans="1:2" x14ac:dyDescent="0.3">
      <c r="A80" s="4" t="s">
        <v>71</v>
      </c>
      <c r="B80" s="9">
        <v>15</v>
      </c>
    </row>
    <row r="81" spans="1:2" x14ac:dyDescent="0.3">
      <c r="A81" s="4" t="s">
        <v>70</v>
      </c>
      <c r="B81" s="9">
        <v>44</v>
      </c>
    </row>
    <row r="82" spans="1:2" x14ac:dyDescent="0.3">
      <c r="A82" s="4" t="s">
        <v>67</v>
      </c>
      <c r="B82" s="9">
        <v>92</v>
      </c>
    </row>
    <row r="83" spans="1:2" x14ac:dyDescent="0.3">
      <c r="A83" s="4" t="s">
        <v>69</v>
      </c>
      <c r="B83" s="9">
        <v>284</v>
      </c>
    </row>
    <row r="84" spans="1:2" x14ac:dyDescent="0.3">
      <c r="A84" s="4" t="s">
        <v>5</v>
      </c>
      <c r="B84" s="3">
        <v>469</v>
      </c>
    </row>
    <row r="87" spans="1:2" x14ac:dyDescent="0.3">
      <c r="A87" s="2" t="s">
        <v>4</v>
      </c>
    </row>
    <row r="88" spans="1:2" x14ac:dyDescent="0.3">
      <c r="A88" s="4" t="s">
        <v>74</v>
      </c>
    </row>
    <row r="89" spans="1:2" x14ac:dyDescent="0.3">
      <c r="A89"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F040C-C592-432F-BC42-F254F5F5C824}">
  <dimension ref="A1:Q21"/>
  <sheetViews>
    <sheetView tabSelected="1" topLeftCell="A8" zoomScale="140" zoomScaleNormal="140" workbookViewId="0">
      <selection activeCell="C22" sqref="C22"/>
    </sheetView>
  </sheetViews>
  <sheetFormatPr defaultRowHeight="14.4" x14ac:dyDescent="0.3"/>
  <cols>
    <col min="1" max="16384" width="8.88671875" style="5"/>
  </cols>
  <sheetData>
    <row r="1" spans="1:17" x14ac:dyDescent="0.3">
      <c r="A1" s="17"/>
      <c r="B1" s="17"/>
      <c r="C1" s="17"/>
      <c r="D1" s="17"/>
      <c r="E1" s="17"/>
      <c r="F1" s="17"/>
      <c r="G1" s="17"/>
      <c r="H1" s="17"/>
      <c r="I1" s="17"/>
      <c r="J1" s="17"/>
      <c r="K1" s="17"/>
      <c r="L1" s="17"/>
      <c r="M1" s="17"/>
      <c r="N1" s="17"/>
      <c r="O1" s="17"/>
      <c r="P1" s="17"/>
      <c r="Q1" s="17"/>
    </row>
    <row r="2" spans="1:17" x14ac:dyDescent="0.3">
      <c r="A2" s="17"/>
      <c r="B2" s="17"/>
      <c r="C2" s="17"/>
      <c r="D2" s="17"/>
      <c r="E2" s="17"/>
      <c r="F2" s="17"/>
      <c r="G2" s="17"/>
      <c r="H2" s="17"/>
      <c r="I2" s="17"/>
      <c r="J2" s="17"/>
      <c r="K2" s="17"/>
      <c r="L2" s="17"/>
      <c r="M2" s="17"/>
      <c r="N2" s="17"/>
      <c r="O2" s="17"/>
      <c r="P2" s="17"/>
      <c r="Q2" s="17"/>
    </row>
    <row r="3" spans="1:17" x14ac:dyDescent="0.3">
      <c r="A3" s="17"/>
      <c r="B3" s="17"/>
      <c r="C3" s="17"/>
      <c r="D3" s="17"/>
      <c r="E3" s="17"/>
      <c r="F3" s="17"/>
      <c r="G3" s="17"/>
      <c r="H3" s="17"/>
      <c r="I3" s="17"/>
      <c r="J3" s="17"/>
      <c r="K3" s="17"/>
      <c r="L3" s="17"/>
      <c r="M3" s="17"/>
      <c r="N3" s="17"/>
      <c r="O3" s="17"/>
      <c r="P3" s="17"/>
      <c r="Q3" s="17"/>
    </row>
    <row r="4" spans="1:17" x14ac:dyDescent="0.3">
      <c r="A4" s="17"/>
      <c r="B4" s="17"/>
      <c r="C4" s="17"/>
      <c r="D4" s="17"/>
      <c r="E4" s="17"/>
      <c r="F4" s="17"/>
      <c r="G4" s="17"/>
      <c r="H4" s="17"/>
      <c r="I4" s="17"/>
      <c r="J4" s="17"/>
      <c r="K4" s="17"/>
      <c r="L4" s="17"/>
      <c r="M4" s="17"/>
      <c r="N4" s="17"/>
      <c r="O4" s="17"/>
      <c r="P4" s="17"/>
      <c r="Q4" s="17"/>
    </row>
    <row r="5" spans="1:17" x14ac:dyDescent="0.3">
      <c r="A5" s="17"/>
      <c r="B5" s="17"/>
      <c r="C5" s="17"/>
      <c r="D5" s="17"/>
      <c r="E5" s="17"/>
      <c r="F5" s="17"/>
      <c r="G5" s="17"/>
      <c r="H5" s="17"/>
      <c r="I5" s="17"/>
      <c r="J5" s="17"/>
      <c r="K5" s="17"/>
      <c r="L5" s="17"/>
      <c r="M5" s="17"/>
      <c r="N5" s="17"/>
      <c r="O5" s="17"/>
      <c r="P5" s="17"/>
      <c r="Q5" s="17"/>
    </row>
    <row r="6" spans="1:17" x14ac:dyDescent="0.3">
      <c r="A6" s="17"/>
      <c r="B6" s="17"/>
      <c r="C6" s="17"/>
      <c r="D6" s="17"/>
      <c r="E6" s="17"/>
      <c r="F6" s="17"/>
      <c r="G6" s="17"/>
      <c r="H6" s="17"/>
      <c r="I6" s="17"/>
      <c r="J6" s="17"/>
      <c r="K6" s="17"/>
      <c r="L6" s="17"/>
      <c r="M6" s="17"/>
      <c r="N6" s="17"/>
      <c r="O6" s="17"/>
      <c r="P6" s="17"/>
      <c r="Q6" s="17"/>
    </row>
    <row r="7" spans="1:17" x14ac:dyDescent="0.3">
      <c r="A7" s="17"/>
      <c r="B7" s="17"/>
      <c r="C7" s="17"/>
      <c r="D7" s="17"/>
      <c r="E7" s="17"/>
      <c r="F7" s="17"/>
      <c r="G7" s="17"/>
      <c r="H7" s="17"/>
      <c r="I7" s="17"/>
      <c r="J7" s="17"/>
      <c r="K7" s="17"/>
      <c r="L7" s="17"/>
      <c r="M7" s="17"/>
      <c r="N7" s="17"/>
      <c r="O7" s="17"/>
      <c r="P7" s="17"/>
      <c r="Q7" s="17"/>
    </row>
    <row r="8" spans="1:17" x14ac:dyDescent="0.3">
      <c r="A8" s="17"/>
      <c r="B8" s="17"/>
      <c r="C8" s="17"/>
      <c r="D8" s="17"/>
      <c r="E8" s="17"/>
      <c r="F8" s="17"/>
      <c r="G8" s="17"/>
      <c r="H8" s="17"/>
      <c r="I8" s="17"/>
      <c r="J8" s="17"/>
      <c r="K8" s="17"/>
      <c r="L8" s="17"/>
      <c r="M8" s="18"/>
      <c r="N8" s="17"/>
      <c r="O8" s="17"/>
      <c r="P8" s="17"/>
      <c r="Q8" s="17"/>
    </row>
    <row r="9" spans="1:17" x14ac:dyDescent="0.3">
      <c r="A9" s="17"/>
      <c r="B9" s="17"/>
      <c r="C9" s="17"/>
      <c r="D9" s="17"/>
      <c r="E9" s="17"/>
      <c r="F9" s="17"/>
      <c r="G9" s="17"/>
      <c r="H9" s="17"/>
      <c r="I9" s="17"/>
      <c r="J9" s="17"/>
      <c r="K9" s="17"/>
      <c r="L9" s="17"/>
      <c r="M9" s="17"/>
      <c r="N9" s="17"/>
      <c r="O9" s="17"/>
      <c r="P9" s="17"/>
      <c r="Q9" s="17"/>
    </row>
    <row r="10" spans="1:17" x14ac:dyDescent="0.3">
      <c r="A10" s="17"/>
      <c r="B10" s="17"/>
      <c r="C10" s="17"/>
      <c r="D10" s="17"/>
      <c r="E10" s="17"/>
      <c r="F10" s="17"/>
      <c r="G10" s="17"/>
      <c r="H10" s="17"/>
      <c r="I10" s="17"/>
      <c r="J10" s="17"/>
      <c r="K10" s="17"/>
      <c r="L10" s="17"/>
      <c r="M10" s="17"/>
      <c r="N10" s="17"/>
      <c r="O10" s="17"/>
      <c r="P10" s="17"/>
      <c r="Q10" s="17"/>
    </row>
    <row r="11" spans="1:17" x14ac:dyDescent="0.3">
      <c r="A11" s="17"/>
      <c r="B11" s="17"/>
      <c r="C11" s="17"/>
      <c r="D11" s="17"/>
      <c r="E11" s="17"/>
      <c r="F11" s="17"/>
      <c r="G11" s="17"/>
      <c r="H11" s="17"/>
      <c r="I11" s="17"/>
      <c r="J11" s="17"/>
      <c r="K11" s="17"/>
      <c r="L11" s="17"/>
      <c r="M11" s="17"/>
      <c r="N11" s="17"/>
      <c r="O11" s="17"/>
      <c r="P11" s="17"/>
      <c r="Q11" s="17"/>
    </row>
    <row r="12" spans="1:17" x14ac:dyDescent="0.3">
      <c r="A12" s="17"/>
      <c r="B12" s="17"/>
      <c r="C12" s="17"/>
      <c r="D12" s="17"/>
      <c r="E12" s="17"/>
      <c r="F12" s="17"/>
      <c r="G12" s="17"/>
      <c r="H12" s="17"/>
      <c r="I12" s="17"/>
      <c r="J12" s="17"/>
      <c r="K12" s="17"/>
      <c r="L12" s="17"/>
      <c r="M12" s="17"/>
      <c r="N12" s="17"/>
      <c r="O12" s="17"/>
      <c r="P12" s="17"/>
      <c r="Q12" s="17"/>
    </row>
    <row r="13" spans="1:17" x14ac:dyDescent="0.3">
      <c r="A13" s="17"/>
      <c r="B13" s="17"/>
      <c r="C13" s="17"/>
      <c r="D13" s="17"/>
      <c r="E13" s="17"/>
      <c r="F13" s="17"/>
      <c r="G13" s="17"/>
      <c r="H13" s="17"/>
      <c r="I13" s="17"/>
      <c r="J13" s="17"/>
      <c r="K13" s="17"/>
      <c r="L13" s="17"/>
      <c r="M13" s="17"/>
      <c r="N13" s="17"/>
      <c r="O13" s="17"/>
      <c r="P13" s="17"/>
      <c r="Q13" s="17"/>
    </row>
    <row r="14" spans="1:17" x14ac:dyDescent="0.3">
      <c r="A14" s="17"/>
      <c r="B14" s="17"/>
      <c r="C14" s="17"/>
      <c r="D14" s="17"/>
      <c r="E14" s="17"/>
      <c r="F14" s="17"/>
      <c r="G14" s="17"/>
      <c r="H14" s="17"/>
      <c r="I14" s="17"/>
      <c r="J14" s="17"/>
      <c r="K14" s="17"/>
      <c r="L14" s="17"/>
      <c r="M14" s="17"/>
      <c r="N14" s="17"/>
      <c r="O14" s="17"/>
      <c r="P14" s="17"/>
      <c r="Q14" s="17"/>
    </row>
    <row r="15" spans="1:17" x14ac:dyDescent="0.3">
      <c r="A15" s="17"/>
      <c r="B15" s="17"/>
      <c r="C15" s="17"/>
      <c r="D15" s="17"/>
      <c r="E15" s="17"/>
      <c r="F15" s="17"/>
      <c r="G15" s="17"/>
      <c r="H15" s="17"/>
      <c r="I15" s="17"/>
      <c r="J15" s="17"/>
      <c r="K15" s="17"/>
      <c r="L15" s="17"/>
      <c r="M15" s="17"/>
      <c r="N15" s="17"/>
      <c r="O15" s="17"/>
      <c r="P15" s="17"/>
      <c r="Q15" s="17"/>
    </row>
    <row r="16" spans="1:17" x14ac:dyDescent="0.3">
      <c r="A16" s="17"/>
      <c r="B16" s="17"/>
      <c r="C16" s="17"/>
      <c r="D16" s="17"/>
      <c r="E16" s="17"/>
      <c r="F16" s="17"/>
      <c r="G16" s="17"/>
      <c r="H16" s="17"/>
      <c r="I16" s="17"/>
      <c r="J16" s="17"/>
      <c r="K16" s="17"/>
      <c r="L16" s="17"/>
      <c r="M16" s="17"/>
      <c r="N16" s="17"/>
      <c r="O16" s="17"/>
      <c r="P16" s="17"/>
      <c r="Q16" s="17"/>
    </row>
    <row r="17" spans="1:17" x14ac:dyDescent="0.3">
      <c r="A17" s="17"/>
      <c r="B17" s="17"/>
      <c r="C17" s="17"/>
      <c r="D17" s="17"/>
      <c r="E17" s="17"/>
      <c r="F17" s="17"/>
      <c r="G17" s="17"/>
      <c r="H17" s="17"/>
      <c r="I17" s="17"/>
      <c r="J17" s="17"/>
      <c r="K17" s="17"/>
      <c r="L17" s="17"/>
      <c r="M17" s="17"/>
      <c r="N17" s="17"/>
      <c r="O17" s="17"/>
      <c r="P17" s="17"/>
      <c r="Q17" s="17"/>
    </row>
    <row r="18" spans="1:17" x14ac:dyDescent="0.3">
      <c r="A18" s="17"/>
      <c r="B18" s="17"/>
      <c r="C18" s="17"/>
      <c r="D18" s="17"/>
      <c r="E18" s="17"/>
      <c r="F18" s="17"/>
      <c r="G18" s="17"/>
      <c r="H18" s="17"/>
      <c r="I18" s="17"/>
      <c r="J18" s="17"/>
      <c r="K18" s="17"/>
      <c r="L18" s="17"/>
      <c r="M18" s="17"/>
      <c r="N18" s="17"/>
      <c r="O18" s="17"/>
      <c r="P18" s="17"/>
      <c r="Q18" s="17"/>
    </row>
    <row r="19" spans="1:17" x14ac:dyDescent="0.3">
      <c r="A19" s="17"/>
      <c r="B19" s="17"/>
      <c r="C19" s="17"/>
      <c r="D19" s="17"/>
      <c r="E19" s="17"/>
      <c r="F19" s="17"/>
      <c r="G19" s="17"/>
      <c r="H19" s="17"/>
      <c r="I19" s="17"/>
      <c r="J19" s="17"/>
      <c r="K19" s="17"/>
      <c r="L19" s="17"/>
      <c r="M19" s="17"/>
      <c r="N19" s="17"/>
      <c r="O19" s="17"/>
      <c r="P19" s="17"/>
      <c r="Q19" s="17"/>
    </row>
    <row r="20" spans="1:17" x14ac:dyDescent="0.3">
      <c r="A20" s="17"/>
      <c r="B20" s="17"/>
      <c r="C20" s="17"/>
      <c r="D20" s="17"/>
      <c r="E20" s="17"/>
      <c r="F20" s="17"/>
      <c r="G20" s="17"/>
      <c r="H20" s="17"/>
      <c r="I20" s="17"/>
      <c r="J20" s="17"/>
      <c r="K20" s="17"/>
      <c r="L20" s="17"/>
      <c r="M20" s="17"/>
      <c r="N20" s="17"/>
      <c r="O20" s="17"/>
      <c r="P20" s="17"/>
      <c r="Q20" s="17"/>
    </row>
    <row r="21" spans="1:17" x14ac:dyDescent="0.3">
      <c r="O21" s="17"/>
      <c r="P21" s="17"/>
      <c r="Q21" s="17"/>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D662-6876-4D3A-9D02-F1A7AD4FB170}">
  <dimension ref="A1:R28"/>
  <sheetViews>
    <sheetView workbookViewId="0">
      <selection activeCell="K26" sqref="K26"/>
    </sheetView>
  </sheetViews>
  <sheetFormatPr defaultRowHeight="14.4" x14ac:dyDescent="0.3"/>
  <cols>
    <col min="1" max="16384" width="8.88671875" style="5"/>
  </cols>
  <sheetData>
    <row r="1" spans="1:18" x14ac:dyDescent="0.3">
      <c r="A1" s="6"/>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6"/>
      <c r="E18" s="6"/>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ht="14.4" customHeight="1" x14ac:dyDescent="0.4">
      <c r="A20" s="7"/>
      <c r="B20" s="8"/>
      <c r="C20" s="8"/>
      <c r="D20" s="8"/>
      <c r="E20" s="8"/>
      <c r="F20" s="8"/>
      <c r="G20" s="8"/>
      <c r="H20" s="8"/>
      <c r="I20" s="8"/>
      <c r="J20" s="8"/>
      <c r="K20" s="8"/>
      <c r="L20" s="8"/>
      <c r="M20" s="8"/>
      <c r="N20" s="8"/>
      <c r="O20" s="6"/>
      <c r="P20" s="6"/>
      <c r="Q20" s="6"/>
      <c r="R20" s="6"/>
    </row>
    <row r="21" spans="1:18" x14ac:dyDescent="0.3">
      <c r="A21" s="8"/>
      <c r="B21" s="8"/>
      <c r="C21" s="8"/>
      <c r="D21" s="8"/>
      <c r="E21" s="8"/>
      <c r="F21" s="8"/>
      <c r="G21" s="8"/>
      <c r="H21" s="8"/>
      <c r="I21" s="8"/>
      <c r="J21" s="8"/>
      <c r="K21" s="8"/>
      <c r="L21" s="8"/>
      <c r="M21" s="8"/>
      <c r="N21" s="8"/>
      <c r="O21" s="6"/>
      <c r="P21" s="6"/>
      <c r="Q21" s="6"/>
      <c r="R21" s="6"/>
    </row>
    <row r="22" spans="1:18" x14ac:dyDescent="0.3">
      <c r="A22" s="6"/>
      <c r="B22" s="6"/>
      <c r="C22" s="6"/>
      <c r="D22" s="6"/>
      <c r="E22" s="6"/>
      <c r="F22" s="6"/>
      <c r="G22" s="6"/>
      <c r="H22" s="6"/>
      <c r="I22" s="6"/>
      <c r="J22" s="6"/>
      <c r="K22" s="6"/>
      <c r="L22" s="6"/>
      <c r="M22" s="6"/>
      <c r="N22" s="6"/>
      <c r="O22" s="6"/>
      <c r="P22" s="6"/>
      <c r="Q22" s="6"/>
      <c r="R22" s="6"/>
    </row>
    <row r="23" spans="1:18" x14ac:dyDescent="0.3">
      <c r="A23" s="19" t="s">
        <v>37</v>
      </c>
      <c r="B23" s="20"/>
      <c r="C23" s="20"/>
      <c r="D23" s="20"/>
      <c r="E23" s="20"/>
      <c r="F23" s="20"/>
      <c r="G23" s="20"/>
      <c r="H23" s="20"/>
      <c r="I23" s="20"/>
      <c r="J23" s="20"/>
      <c r="K23" s="20"/>
      <c r="L23" s="20"/>
      <c r="M23" s="20"/>
      <c r="N23" s="20"/>
      <c r="O23" s="20"/>
      <c r="P23" s="20"/>
      <c r="Q23" s="6"/>
      <c r="R23" s="6"/>
    </row>
    <row r="24" spans="1:18" x14ac:dyDescent="0.3">
      <c r="A24" s="20"/>
      <c r="B24" s="20"/>
      <c r="C24" s="20"/>
      <c r="D24" s="20"/>
      <c r="E24" s="20"/>
      <c r="F24" s="20"/>
      <c r="G24" s="20"/>
      <c r="H24" s="20"/>
      <c r="I24" s="20"/>
      <c r="J24" s="20"/>
      <c r="K24" s="20"/>
      <c r="L24" s="20"/>
      <c r="M24" s="20"/>
      <c r="N24" s="20"/>
      <c r="O24" s="20"/>
      <c r="P24" s="20"/>
      <c r="Q24" s="6"/>
      <c r="R24" s="6"/>
    </row>
    <row r="25" spans="1:18" x14ac:dyDescent="0.3">
      <c r="A25" s="6"/>
      <c r="B25" s="6"/>
      <c r="C25" s="6"/>
      <c r="D25" s="6"/>
      <c r="E25" s="6"/>
      <c r="F25" s="6"/>
      <c r="G25" s="6"/>
      <c r="H25" s="6"/>
      <c r="I25" s="6"/>
      <c r="J25" s="6"/>
      <c r="K25" s="6"/>
      <c r="L25" s="6"/>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row r="28" spans="1:18" x14ac:dyDescent="0.3">
      <c r="A28" s="6"/>
      <c r="B28" s="6"/>
      <c r="C28" s="6"/>
      <c r="D28" s="6"/>
      <c r="E28" s="6"/>
      <c r="F28" s="6"/>
      <c r="G28" s="6"/>
      <c r="H28" s="6"/>
      <c r="I28" s="6"/>
      <c r="J28" s="6"/>
      <c r="K28" s="6"/>
      <c r="L28" s="6"/>
      <c r="M28" s="6"/>
      <c r="N28" s="6"/>
      <c r="O28" s="6"/>
      <c r="P28" s="6"/>
      <c r="Q28" s="6"/>
      <c r="R28" s="6"/>
    </row>
  </sheetData>
  <mergeCells count="1">
    <mergeCell ref="A23:P2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15A4C-634D-4A94-B842-04F3DBB0983E}">
  <dimension ref="A1:R28"/>
  <sheetViews>
    <sheetView workbookViewId="0"/>
  </sheetViews>
  <sheetFormatPr defaultRowHeight="14.4" x14ac:dyDescent="0.3"/>
  <sheetData>
    <row r="1" spans="1:18" x14ac:dyDescent="0.3">
      <c r="A1" s="6"/>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6"/>
      <c r="E18" s="6"/>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x14ac:dyDescent="0.3">
      <c r="A20" s="6"/>
      <c r="B20" s="6"/>
      <c r="C20" s="6"/>
      <c r="D20" s="6"/>
      <c r="E20" s="6"/>
      <c r="F20" s="6"/>
      <c r="G20" s="6"/>
      <c r="H20" s="6"/>
      <c r="I20" s="6"/>
      <c r="J20" s="6"/>
      <c r="K20" s="6"/>
      <c r="L20" s="6"/>
      <c r="M20" s="6"/>
      <c r="N20" s="6"/>
      <c r="O20" s="6"/>
      <c r="P20" s="6"/>
      <c r="Q20" s="6"/>
      <c r="R20" s="6"/>
    </row>
    <row r="21" spans="1:18" x14ac:dyDescent="0.3">
      <c r="A21" s="21" t="s">
        <v>39</v>
      </c>
      <c r="B21" s="20"/>
      <c r="C21" s="20"/>
      <c r="D21" s="20"/>
      <c r="E21" s="20"/>
      <c r="F21" s="20"/>
      <c r="G21" s="20"/>
      <c r="H21" s="20"/>
      <c r="I21" s="20"/>
      <c r="J21" s="20"/>
      <c r="K21" s="20"/>
      <c r="L21" s="20"/>
      <c r="M21" s="20"/>
      <c r="N21" s="20"/>
      <c r="O21" s="20"/>
      <c r="P21" s="20"/>
      <c r="Q21" s="6"/>
      <c r="R21" s="6"/>
    </row>
    <row r="22" spans="1:18" x14ac:dyDescent="0.3">
      <c r="A22" s="20"/>
      <c r="B22" s="20"/>
      <c r="C22" s="20"/>
      <c r="D22" s="20"/>
      <c r="E22" s="20"/>
      <c r="F22" s="20"/>
      <c r="G22" s="20"/>
      <c r="H22" s="20"/>
      <c r="I22" s="20"/>
      <c r="J22" s="20"/>
      <c r="K22" s="20"/>
      <c r="L22" s="20"/>
      <c r="M22" s="20"/>
      <c r="N22" s="20"/>
      <c r="O22" s="20"/>
      <c r="P22" s="20"/>
      <c r="Q22" s="6"/>
      <c r="R22" s="6"/>
    </row>
    <row r="23" spans="1:18" x14ac:dyDescent="0.3">
      <c r="A23" s="6"/>
      <c r="B23" s="6"/>
      <c r="C23" s="6"/>
      <c r="D23" s="6"/>
      <c r="E23" s="6"/>
      <c r="F23" s="6"/>
      <c r="G23" s="6"/>
      <c r="H23" s="6"/>
      <c r="I23" s="6"/>
      <c r="J23" s="6"/>
      <c r="K23" s="6"/>
      <c r="L23" s="6"/>
      <c r="M23" s="6"/>
      <c r="N23" s="6"/>
      <c r="O23" s="6"/>
      <c r="P23" s="6"/>
      <c r="Q23" s="6"/>
      <c r="R23" s="6"/>
    </row>
    <row r="24" spans="1:18" x14ac:dyDescent="0.3">
      <c r="A24" s="6"/>
      <c r="B24" s="6"/>
      <c r="C24" s="6"/>
      <c r="D24" s="6"/>
      <c r="E24" s="6"/>
      <c r="F24" s="6"/>
      <c r="G24" s="6"/>
      <c r="H24" s="6"/>
      <c r="I24" s="6"/>
      <c r="J24" s="6"/>
      <c r="K24" s="6"/>
      <c r="L24" s="6"/>
      <c r="M24" s="6"/>
      <c r="N24" s="6"/>
      <c r="O24" s="6"/>
      <c r="P24" s="6"/>
      <c r="Q24" s="6"/>
      <c r="R24" s="6"/>
    </row>
    <row r="25" spans="1:18" x14ac:dyDescent="0.3">
      <c r="A25" s="6"/>
      <c r="B25" s="6"/>
      <c r="C25" s="6"/>
      <c r="D25" s="6"/>
      <c r="E25" s="6"/>
      <c r="F25" s="6"/>
      <c r="G25" s="6"/>
      <c r="H25" s="6"/>
      <c r="I25" s="6"/>
      <c r="J25" s="6"/>
      <c r="K25" s="6"/>
      <c r="L25" s="6"/>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row r="28" spans="1:18" x14ac:dyDescent="0.3">
      <c r="A28" s="6"/>
      <c r="B28" s="6"/>
      <c r="C28" s="6"/>
      <c r="D28" s="6"/>
      <c r="E28" s="6"/>
      <c r="F28" s="6"/>
      <c r="G28" s="6"/>
      <c r="H28" s="6"/>
      <c r="I28" s="6"/>
      <c r="J28" s="6"/>
      <c r="K28" s="6"/>
      <c r="L28" s="6"/>
      <c r="M28" s="6"/>
      <c r="N28" s="6"/>
      <c r="O28" s="6"/>
      <c r="P28" s="6"/>
      <c r="Q28" s="6"/>
      <c r="R28" s="6"/>
    </row>
  </sheetData>
  <mergeCells count="1">
    <mergeCell ref="A21:P2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BB48-BB1C-4E0C-9312-02CB22884F76}">
  <dimension ref="A1:R28"/>
  <sheetViews>
    <sheetView workbookViewId="0"/>
  </sheetViews>
  <sheetFormatPr defaultRowHeight="14.4" x14ac:dyDescent="0.3"/>
  <sheetData>
    <row r="1" spans="1:18" x14ac:dyDescent="0.3">
      <c r="A1" s="6"/>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6"/>
      <c r="E18" s="6"/>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x14ac:dyDescent="0.3">
      <c r="A20" s="6"/>
      <c r="B20" s="6"/>
      <c r="C20" s="6"/>
      <c r="D20" s="6"/>
      <c r="E20" s="6"/>
      <c r="F20" s="6"/>
      <c r="G20" s="6"/>
      <c r="H20" s="6"/>
      <c r="I20" s="6"/>
      <c r="J20" s="6"/>
      <c r="K20" s="6"/>
      <c r="L20" s="6"/>
      <c r="M20" s="6"/>
      <c r="N20" s="6"/>
      <c r="O20" s="6"/>
      <c r="P20" s="6"/>
      <c r="Q20" s="6"/>
      <c r="R20" s="6"/>
    </row>
    <row r="21" spans="1:18" x14ac:dyDescent="0.3">
      <c r="A21" s="6"/>
      <c r="B21" s="6"/>
      <c r="C21" s="6"/>
      <c r="D21" s="6"/>
      <c r="E21" s="6"/>
      <c r="F21" s="6"/>
      <c r="G21" s="6"/>
      <c r="H21" s="6"/>
      <c r="I21" s="6"/>
      <c r="J21" s="6"/>
      <c r="K21" s="6"/>
      <c r="L21" s="6"/>
      <c r="M21" s="6"/>
      <c r="N21" s="6"/>
      <c r="O21" s="6"/>
      <c r="P21" s="6"/>
      <c r="Q21" s="6"/>
      <c r="R21" s="6"/>
    </row>
    <row r="22" spans="1:18" x14ac:dyDescent="0.3">
      <c r="A22" s="6"/>
      <c r="B22" s="6"/>
      <c r="C22" s="6"/>
      <c r="D22" s="6"/>
      <c r="E22" s="6"/>
      <c r="F22" s="6"/>
      <c r="G22" s="6"/>
      <c r="H22" s="6"/>
      <c r="I22" s="6"/>
      <c r="J22" s="6"/>
      <c r="K22" s="6"/>
      <c r="L22" s="6"/>
      <c r="M22" s="6"/>
      <c r="N22" s="6"/>
      <c r="O22" s="6"/>
      <c r="P22" s="6"/>
      <c r="Q22" s="6"/>
      <c r="R22" s="6"/>
    </row>
    <row r="23" spans="1:18" x14ac:dyDescent="0.3">
      <c r="A23" s="22" t="s">
        <v>41</v>
      </c>
      <c r="B23" s="20"/>
      <c r="C23" s="20"/>
      <c r="D23" s="20"/>
      <c r="E23" s="20"/>
      <c r="F23" s="20"/>
      <c r="G23" s="20"/>
      <c r="H23" s="20"/>
      <c r="I23" s="20"/>
      <c r="J23" s="20"/>
      <c r="K23" s="20"/>
      <c r="L23" s="20"/>
      <c r="M23" s="20"/>
      <c r="N23" s="20"/>
      <c r="O23" s="20"/>
      <c r="P23" s="20"/>
      <c r="Q23" s="6"/>
      <c r="R23" s="6"/>
    </row>
    <row r="24" spans="1:18" x14ac:dyDescent="0.3">
      <c r="A24" s="20"/>
      <c r="B24" s="20"/>
      <c r="C24" s="20"/>
      <c r="D24" s="20"/>
      <c r="E24" s="20"/>
      <c r="F24" s="20"/>
      <c r="G24" s="20"/>
      <c r="H24" s="20"/>
      <c r="I24" s="20"/>
      <c r="J24" s="20"/>
      <c r="K24" s="20"/>
      <c r="L24" s="20"/>
      <c r="M24" s="20"/>
      <c r="N24" s="20"/>
      <c r="O24" s="20"/>
      <c r="P24" s="20"/>
      <c r="Q24" s="6"/>
      <c r="R24" s="6"/>
    </row>
    <row r="25" spans="1:18" x14ac:dyDescent="0.3">
      <c r="A25" s="6"/>
      <c r="B25" s="6"/>
      <c r="C25" s="6"/>
      <c r="D25" s="6"/>
      <c r="E25" s="6"/>
      <c r="F25" s="6"/>
      <c r="G25" s="6"/>
      <c r="H25" s="6"/>
      <c r="I25" s="6"/>
      <c r="J25" s="6"/>
      <c r="K25" s="6"/>
      <c r="L25" s="6"/>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row r="28" spans="1:18" x14ac:dyDescent="0.3">
      <c r="A28" s="6"/>
      <c r="B28" s="6"/>
      <c r="C28" s="6"/>
      <c r="D28" s="6"/>
      <c r="E28" s="6"/>
      <c r="F28" s="6"/>
      <c r="G28" s="6"/>
      <c r="H28" s="6"/>
      <c r="I28" s="6"/>
      <c r="J28" s="6"/>
      <c r="K28" s="6"/>
      <c r="L28" s="6"/>
      <c r="M28" s="6"/>
      <c r="N28" s="6"/>
      <c r="O28" s="6"/>
      <c r="P28" s="6"/>
      <c r="Q28" s="6"/>
      <c r="R28" s="6"/>
    </row>
  </sheetData>
  <mergeCells count="1">
    <mergeCell ref="A23:P2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A2D2FFE-2FAD-4A0E-9D76-756FCBD9D49A}">
  <ds:schemaRefs/>
</ds:datastoreItem>
</file>

<file path=customXml/itemProps2.xml><?xml version="1.0" encoding="utf-8"?>
<ds:datastoreItem xmlns:ds="http://schemas.openxmlformats.org/officeDocument/2006/customXml" ds:itemID="{AAD8E1A3-B35D-4D53-AA22-2FAD461B04E2}">
  <ds:schemaRefs/>
</ds:datastoreItem>
</file>

<file path=customXml/itemProps3.xml><?xml version="1.0" encoding="utf-8"?>
<ds:datastoreItem xmlns:ds="http://schemas.openxmlformats.org/officeDocument/2006/customXml" ds:itemID="{9FC92B85-BE2D-43F6-80D1-9BA55859233F}">
  <ds:schemaRefs/>
</ds:datastoreItem>
</file>

<file path=customXml/itemProps4.xml><?xml version="1.0" encoding="utf-8"?>
<ds:datastoreItem xmlns:ds="http://schemas.openxmlformats.org/officeDocument/2006/customXml" ds:itemID="{1DAC4B1C-9180-4796-AEFB-200D9FC1CC6D}">
  <ds:schemaRefs/>
</ds:datastoreItem>
</file>

<file path=customXml/itemProps5.xml><?xml version="1.0" encoding="utf-8"?>
<ds:datastoreItem xmlns:ds="http://schemas.openxmlformats.org/officeDocument/2006/customXml" ds:itemID="{2E8DE608-7AE2-47B5-9A8E-683AA036991B}">
  <ds:schemaRefs/>
</ds:datastoreItem>
</file>

<file path=customXml/itemProps6.xml><?xml version="1.0" encoding="utf-8"?>
<ds:datastoreItem xmlns:ds="http://schemas.openxmlformats.org/officeDocument/2006/customXml" ds:itemID="{D3218699-C356-4C1C-8856-FA5BD095A838}">
  <ds:schemaRefs/>
</ds:datastoreItem>
</file>

<file path=customXml/itemProps7.xml><?xml version="1.0" encoding="utf-8"?>
<ds:datastoreItem xmlns:ds="http://schemas.openxmlformats.org/officeDocument/2006/customXml" ds:itemID="{E2B6497F-F84C-405D-A014-15DFAF1398D6}">
  <ds:schemaRefs/>
</ds:datastoreItem>
</file>

<file path=customXml/itemProps8.xml><?xml version="1.0" encoding="utf-8"?>
<ds:datastoreItem xmlns:ds="http://schemas.openxmlformats.org/officeDocument/2006/customXml" ds:itemID="{17D583B9-9B87-42B5-9D48-C67C6CFA03FF}">
  <ds:schemaRefs/>
</ds:datastoreItem>
</file>

<file path=customXml/itemProps9.xml><?xml version="1.0" encoding="utf-8"?>
<ds:datastoreItem xmlns:ds="http://schemas.openxmlformats.org/officeDocument/2006/customXml" ds:itemID="{81144E1C-68C0-4C0C-9713-95B5DF8BA2D8}">
  <ds:schemaRefs/>
</ds:datastoreItem>
</file>

<file path=customXml/itemProps10.xml><?xml version="1.0" encoding="utf-8"?>
<ds:datastoreItem xmlns:ds="http://schemas.openxmlformats.org/officeDocument/2006/customXml" ds:itemID="{E4850709-1C1D-40D4-8236-4BC0A64C6FC6}">
  <ds:schemaRefs/>
</ds:datastoreItem>
</file>

<file path=customXml/itemProps11.xml><?xml version="1.0" encoding="utf-8"?>
<ds:datastoreItem xmlns:ds="http://schemas.openxmlformats.org/officeDocument/2006/customXml" ds:itemID="{47C38560-BEF9-453E-8AA3-F8F1AA3AA7C6}">
  <ds:schemaRefs/>
</ds:datastoreItem>
</file>

<file path=customXml/itemProps12.xml><?xml version="1.0" encoding="utf-8"?>
<ds:datastoreItem xmlns:ds="http://schemas.openxmlformats.org/officeDocument/2006/customXml" ds:itemID="{04AE7FBA-EB46-4398-98BF-206CB06A90F5}">
  <ds:schemaRefs/>
</ds:datastoreItem>
</file>

<file path=customXml/itemProps13.xml><?xml version="1.0" encoding="utf-8"?>
<ds:datastoreItem xmlns:ds="http://schemas.openxmlformats.org/officeDocument/2006/customXml" ds:itemID="{9FF4C555-7490-4B1F-A9A7-85C74B42EFA6}">
  <ds:schemaRefs/>
</ds:datastoreItem>
</file>

<file path=customXml/itemProps14.xml><?xml version="1.0" encoding="utf-8"?>
<ds:datastoreItem xmlns:ds="http://schemas.openxmlformats.org/officeDocument/2006/customXml" ds:itemID="{D6ECC428-12A8-4A3F-BC31-4369317634A9}">
  <ds:schemaRefs>
    <ds:schemaRef ds:uri="http://schemas.microsoft.com/DataMashup"/>
  </ds:schemaRefs>
</ds:datastoreItem>
</file>

<file path=customXml/itemProps15.xml><?xml version="1.0" encoding="utf-8"?>
<ds:datastoreItem xmlns:ds="http://schemas.openxmlformats.org/officeDocument/2006/customXml" ds:itemID="{61E6556D-A699-4EF7-A44A-0C20D755B230}">
  <ds:schemaRefs/>
</ds:datastoreItem>
</file>

<file path=customXml/itemProps16.xml><?xml version="1.0" encoding="utf-8"?>
<ds:datastoreItem xmlns:ds="http://schemas.openxmlformats.org/officeDocument/2006/customXml" ds:itemID="{4888E1F0-B6F6-406B-9A7D-AF63D16166C8}">
  <ds:schemaRefs/>
</ds:datastoreItem>
</file>

<file path=customXml/itemProps17.xml><?xml version="1.0" encoding="utf-8"?>
<ds:datastoreItem xmlns:ds="http://schemas.openxmlformats.org/officeDocument/2006/customXml" ds:itemID="{4193CEE4-52BF-4578-A66D-A797B312B3CB}">
  <ds:schemaRefs/>
</ds:datastoreItem>
</file>

<file path=customXml/itemProps18.xml><?xml version="1.0" encoding="utf-8"?>
<ds:datastoreItem xmlns:ds="http://schemas.openxmlformats.org/officeDocument/2006/customXml" ds:itemID="{23A85FBE-3462-4FA9-B50A-A39BDBA561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patients</vt:lpstr>
      <vt:lpstr>Average wait time daily trend</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Ahana Chatterjee</dc:creator>
  <cp:lastModifiedBy>Ahana Chatterjee</cp:lastModifiedBy>
  <dcterms:created xsi:type="dcterms:W3CDTF">2026-01-21T14:01:03Z</dcterms:created>
  <dcterms:modified xsi:type="dcterms:W3CDTF">2026-01-28T15:34:56Z</dcterms:modified>
</cp:coreProperties>
</file>